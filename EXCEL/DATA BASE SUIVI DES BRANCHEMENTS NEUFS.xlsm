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12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DEMY\Mes dashbords\My_Projets\EXCEL\"/>
    </mc:Choice>
  </mc:AlternateContent>
  <xr:revisionPtr revIDLastSave="0" documentId="13_ncr:1_{1CA3C519-2095-4422-84FE-6491911D1972}" xr6:coauthVersionLast="47" xr6:coauthVersionMax="47" xr10:uidLastSave="{00000000-0000-0000-0000-000000000000}"/>
  <workbookProtection workbookAlgorithmName="SHA-512" workbookHashValue="6UhF2isJLkCqGOkFrkCiI7LWtlo1g5fAt1vQYUAGeG7tbGRVNYKGf2ZGuQyrgBLcCCu+B9Ewn4adxBVdVckA8g==" workbookSaltValue="/eyYvCVTWnAYieU3UzZ7PQ==" workbookSpinCount="100000" lockStructure="1"/>
  <bookViews>
    <workbookView xWindow="-120" yWindow="-120" windowWidth="20730" windowHeight="11040" firstSheet="1" activeTab="2" xr2:uid="{5B55B601-0B59-409F-AF6F-0E4FEB7A0098}"/>
  </bookViews>
  <sheets>
    <sheet name="TCD " sheetId="9" state="hidden" r:id="rId1"/>
    <sheet name="Dashboard " sheetId="10" r:id="rId2"/>
    <sheet name="BRANCH NEUF DEC SUD" sheetId="8" r:id="rId3"/>
  </sheets>
  <definedNames>
    <definedName name="_xlcn.WorksheetConnection_DATABASEBRANCH_NORMABT_DECSUD.xlsxTableau2" hidden="1">'BRANCH NEUF DEC SUD'!$A$1:$AB$458</definedName>
    <definedName name="_xlcn.WorksheetConnection_DATABASESUIVIBRANCHEMENTSNEUFS_2.xlsmData_Base" hidden="1">Data_Base[]</definedName>
    <definedName name="Segment_AGENCE1">#N/A</definedName>
    <definedName name="Segment_Année">#N/A</definedName>
    <definedName name="Segment_ENTREPRISE">#N/A</definedName>
    <definedName name="Segment_Jours1">#N/A</definedName>
    <definedName name="Segment_Mois1">#N/A</definedName>
  </definedNames>
  <calcPr calcId="191029" concurrentCalc="0"/>
  <pivotCaches>
    <pivotCache cacheId="51" r:id="rId4"/>
    <pivotCache cacheId="54" r:id="rId5"/>
    <pivotCache cacheId="57" r:id="rId6"/>
  </pivotCaches>
  <extLst>
    <ext xmlns:x14="http://schemas.microsoft.com/office/spreadsheetml/2009/9/main" uri="{876F7934-8845-4945-9796-88D515C7AA90}">
      <x14:pivotCaches>
        <pivotCache cacheId="3" r:id="rId7"/>
      </x14:pivotCaches>
    </ex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Base" name="Data_Base" connection="WorksheetConnection_DATA BASE SUIVI BRANCHEMENTS NEUFS_2.xlsm!Data_Base"/>
          <x15:modelTable id="Tableau2" name="Tableau2" connection="WorksheetConnection_DATA BASE BRANCH_NORMA BT_DEC SUD.xlsx!Tableau2"/>
        </x15:modelTables>
        <x15:extLst>
          <ext xmlns:x16="http://schemas.microsoft.com/office/spreadsheetml/2014/11/main" uri="{9835A34E-60A6-4A7C-AAB8-D5F71C897F49}">
            <x16:modelTimeGroupings>
              <x16:modelTimeGrouping tableName="Data_Base" columnName="DATE RECEPTION" columnId="DATE RECEPTION">
                <x16:calculatedTimeColumn columnName="DATE RECEPTION (index des mois)" columnId="DATE RECEPTION (index des mois)" contentType="monthsindex" isSelected="1"/>
                <x16:calculatedTimeColumn columnName="DATE RECEPTION (mois)" columnId="DATE RECEPTION (moi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62" i="8" l="1"/>
  <c r="AB561" i="8"/>
  <c r="AB560" i="8"/>
  <c r="AB559" i="8"/>
  <c r="AB558" i="8"/>
  <c r="AB557" i="8"/>
  <c r="AB556" i="8"/>
  <c r="AB555" i="8"/>
  <c r="AB554" i="8"/>
  <c r="AB553" i="8"/>
  <c r="AB552" i="8"/>
  <c r="AB551" i="8"/>
  <c r="AB550" i="8"/>
  <c r="AB549" i="8"/>
  <c r="AB548" i="8"/>
  <c r="AB547" i="8"/>
  <c r="AB546" i="8"/>
  <c r="AB545" i="8"/>
  <c r="AB544" i="8"/>
  <c r="AB543" i="8"/>
  <c r="AB542" i="8"/>
  <c r="AB541" i="8"/>
  <c r="AB540" i="8"/>
  <c r="AB539" i="8"/>
  <c r="AB538" i="8"/>
  <c r="AB537" i="8"/>
  <c r="AB536" i="8"/>
  <c r="AB535" i="8"/>
  <c r="AB534" i="8"/>
  <c r="AB533" i="8"/>
  <c r="AB532" i="8"/>
  <c r="AB531" i="8"/>
  <c r="AB530" i="8"/>
  <c r="AB529" i="8"/>
  <c r="AB528" i="8"/>
  <c r="AB527" i="8"/>
  <c r="AB526" i="8"/>
  <c r="AB525" i="8"/>
  <c r="AB524" i="8"/>
  <c r="AB523" i="8"/>
  <c r="AB522" i="8"/>
  <c r="AB521" i="8"/>
  <c r="AB520" i="8"/>
  <c r="AB519" i="8"/>
  <c r="AB518" i="8"/>
  <c r="AB517" i="8"/>
  <c r="AB516" i="8"/>
  <c r="AB515" i="8"/>
  <c r="AB514" i="8"/>
  <c r="AB513" i="8"/>
  <c r="AB512" i="8"/>
  <c r="AB511" i="8"/>
  <c r="AB510" i="8"/>
  <c r="AB509" i="8"/>
  <c r="AB508" i="8"/>
  <c r="AB507" i="8"/>
  <c r="AB506" i="8"/>
  <c r="AB505" i="8"/>
  <c r="AB504" i="8"/>
  <c r="AB503" i="8"/>
  <c r="AB502" i="8"/>
  <c r="AB501" i="8"/>
  <c r="AB500" i="8"/>
  <c r="AB499" i="8"/>
  <c r="AB498" i="8"/>
  <c r="AB497" i="8"/>
  <c r="AB496" i="8"/>
  <c r="AB495" i="8"/>
  <c r="AB494" i="8"/>
  <c r="AB493" i="8"/>
  <c r="AB492" i="8"/>
  <c r="AB491" i="8"/>
  <c r="AB490" i="8"/>
  <c r="AB489" i="8"/>
  <c r="AB488" i="8"/>
  <c r="AB487" i="8"/>
  <c r="AB486" i="8"/>
  <c r="AB485" i="8"/>
  <c r="AB484" i="8"/>
  <c r="AB483" i="8"/>
  <c r="AB482" i="8"/>
  <c r="AB481" i="8"/>
  <c r="AB480" i="8"/>
  <c r="AB479" i="8"/>
  <c r="AB478" i="8"/>
  <c r="AB477" i="8"/>
  <c r="AB476" i="8"/>
  <c r="AB475" i="8"/>
  <c r="AB474" i="8"/>
  <c r="AB473" i="8"/>
  <c r="AB472" i="8"/>
  <c r="AB471" i="8"/>
  <c r="AB470" i="8"/>
  <c r="AB469" i="8"/>
  <c r="AB468" i="8"/>
  <c r="AB467" i="8"/>
  <c r="AB466" i="8"/>
  <c r="AB465" i="8"/>
  <c r="AB464" i="8"/>
  <c r="AB463" i="8"/>
  <c r="AB462" i="8"/>
  <c r="AB461" i="8"/>
  <c r="AB460" i="8"/>
  <c r="AB459" i="8"/>
  <c r="AB458" i="8"/>
  <c r="AB457" i="8"/>
  <c r="AB456" i="8"/>
  <c r="AB455" i="8"/>
  <c r="AB454" i="8"/>
  <c r="AB453" i="8"/>
  <c r="AB452" i="8"/>
  <c r="AB451" i="8"/>
  <c r="AB450" i="8"/>
  <c r="AB449" i="8"/>
  <c r="AB448" i="8"/>
  <c r="AB447" i="8"/>
  <c r="AB446" i="8"/>
  <c r="AB445" i="8"/>
  <c r="AB444" i="8"/>
  <c r="AB443" i="8"/>
  <c r="AB442" i="8"/>
  <c r="AB441" i="8"/>
  <c r="AB440" i="8"/>
  <c r="AB439" i="8"/>
  <c r="AB438" i="8"/>
  <c r="AB437" i="8"/>
  <c r="AB436" i="8"/>
  <c r="AB435" i="8"/>
  <c r="AB434" i="8"/>
  <c r="AB433" i="8"/>
  <c r="AB432" i="8"/>
  <c r="AB431" i="8"/>
  <c r="AB430" i="8"/>
  <c r="AB429" i="8"/>
  <c r="AB428" i="8"/>
  <c r="AB427" i="8"/>
  <c r="AB426" i="8"/>
  <c r="AB425" i="8"/>
  <c r="AB424" i="8"/>
  <c r="AB423" i="8"/>
  <c r="AB422" i="8"/>
  <c r="AB421" i="8"/>
  <c r="AB420" i="8"/>
  <c r="AB419" i="8"/>
  <c r="AB418" i="8"/>
  <c r="AB417" i="8"/>
  <c r="AB416" i="8"/>
  <c r="AB415" i="8"/>
  <c r="AB414" i="8"/>
  <c r="AB413" i="8"/>
  <c r="AB412" i="8"/>
  <c r="AB411" i="8"/>
  <c r="AB410" i="8"/>
  <c r="AB409" i="8"/>
  <c r="AB408" i="8"/>
  <c r="AB407" i="8"/>
  <c r="AB406" i="8"/>
  <c r="AB405" i="8"/>
  <c r="AB404" i="8"/>
  <c r="AB403" i="8"/>
  <c r="AB402" i="8"/>
  <c r="AB401" i="8"/>
  <c r="AB400" i="8"/>
  <c r="AB399" i="8"/>
  <c r="AB398" i="8"/>
  <c r="AB397" i="8"/>
  <c r="AB396" i="8"/>
  <c r="AB395" i="8"/>
  <c r="AB394" i="8"/>
  <c r="AB393" i="8"/>
  <c r="AB392" i="8"/>
  <c r="AB391" i="8"/>
  <c r="AB390" i="8"/>
  <c r="AB389" i="8"/>
  <c r="AB388" i="8"/>
  <c r="AB387" i="8"/>
  <c r="AB386" i="8"/>
  <c r="AB385" i="8"/>
  <c r="AB384" i="8"/>
  <c r="AB383" i="8"/>
  <c r="AB382" i="8"/>
  <c r="AB381" i="8"/>
  <c r="AB380" i="8"/>
  <c r="AB379" i="8"/>
  <c r="AB378" i="8"/>
  <c r="AB377" i="8"/>
  <c r="AB376" i="8"/>
  <c r="AB375" i="8"/>
  <c r="AB374" i="8"/>
  <c r="AB373" i="8"/>
  <c r="AB372" i="8"/>
  <c r="AB371" i="8"/>
  <c r="AB370" i="8"/>
  <c r="AB369" i="8"/>
  <c r="AB368" i="8"/>
  <c r="AB367" i="8"/>
  <c r="AB366" i="8"/>
  <c r="AB365" i="8"/>
  <c r="AB364" i="8"/>
  <c r="AB363" i="8"/>
  <c r="AB362" i="8"/>
  <c r="AB361" i="8"/>
  <c r="AB360" i="8"/>
  <c r="AB359" i="8"/>
  <c r="AB358" i="8"/>
  <c r="AB357" i="8"/>
  <c r="AB356" i="8"/>
  <c r="AB355" i="8"/>
  <c r="AB354" i="8"/>
  <c r="AB353" i="8"/>
  <c r="AB352" i="8"/>
  <c r="AB351" i="8"/>
  <c r="AB350" i="8"/>
  <c r="AB349" i="8"/>
  <c r="AB348" i="8"/>
  <c r="AB347" i="8"/>
  <c r="AB346" i="8"/>
  <c r="AB345" i="8"/>
  <c r="AB344" i="8"/>
  <c r="AB343" i="8"/>
  <c r="AB342" i="8"/>
  <c r="AB341" i="8"/>
  <c r="AB340" i="8"/>
  <c r="AB339" i="8"/>
  <c r="AB338" i="8"/>
  <c r="AB337" i="8"/>
  <c r="AB336" i="8"/>
  <c r="AB335" i="8"/>
  <c r="AB334" i="8"/>
  <c r="AB333" i="8"/>
  <c r="AB332" i="8"/>
  <c r="AB331" i="8"/>
  <c r="AB330" i="8"/>
  <c r="AB329" i="8"/>
  <c r="AB328" i="8"/>
  <c r="AB327" i="8"/>
  <c r="AB326" i="8"/>
  <c r="AB325" i="8"/>
  <c r="AB324" i="8"/>
  <c r="AB323" i="8"/>
  <c r="AB322" i="8"/>
  <c r="AB321" i="8"/>
  <c r="AB320" i="8"/>
  <c r="AB319" i="8"/>
  <c r="AB318" i="8"/>
  <c r="AB317" i="8"/>
  <c r="AB316" i="8"/>
  <c r="AB315" i="8"/>
  <c r="AB314" i="8"/>
  <c r="AB313" i="8"/>
  <c r="AB312" i="8"/>
  <c r="AB311" i="8"/>
  <c r="AB310" i="8"/>
  <c r="AB309" i="8"/>
  <c r="AB308" i="8"/>
  <c r="AB307" i="8"/>
  <c r="AB306" i="8"/>
  <c r="AB305" i="8"/>
  <c r="AB304" i="8"/>
  <c r="AB303" i="8"/>
  <c r="AB302" i="8"/>
  <c r="AB301" i="8"/>
  <c r="AB300" i="8"/>
  <c r="AB299" i="8"/>
  <c r="AB298" i="8"/>
  <c r="AB297" i="8"/>
  <c r="AB296" i="8"/>
  <c r="AB295" i="8"/>
  <c r="AB294" i="8"/>
  <c r="AB293" i="8"/>
  <c r="AB292" i="8"/>
  <c r="AB291" i="8"/>
  <c r="AB290" i="8"/>
  <c r="AB289" i="8"/>
  <c r="AB288" i="8"/>
  <c r="AB287" i="8"/>
  <c r="AB286" i="8"/>
  <c r="AB285" i="8"/>
  <c r="AB284" i="8"/>
  <c r="AB283" i="8"/>
  <c r="AB282" i="8"/>
  <c r="AB281" i="8"/>
  <c r="AB280" i="8"/>
  <c r="AB279" i="8"/>
  <c r="AB278" i="8"/>
  <c r="AB277" i="8"/>
  <c r="AB276" i="8"/>
  <c r="AB275" i="8"/>
  <c r="AB274" i="8"/>
  <c r="AB273" i="8"/>
  <c r="AB272" i="8"/>
  <c r="AB271" i="8"/>
  <c r="AB270" i="8"/>
  <c r="AB269" i="8"/>
  <c r="AB268" i="8"/>
  <c r="AB267" i="8"/>
  <c r="AB266" i="8"/>
  <c r="AB265" i="8"/>
  <c r="AB264" i="8"/>
  <c r="AB263" i="8"/>
  <c r="AB262" i="8"/>
  <c r="AB261" i="8"/>
  <c r="AB260" i="8"/>
  <c r="AB259" i="8"/>
  <c r="AB258" i="8"/>
  <c r="AB257" i="8"/>
  <c r="AB256" i="8"/>
  <c r="AB255" i="8"/>
  <c r="AB254" i="8"/>
  <c r="AB253" i="8"/>
  <c r="AB252" i="8"/>
  <c r="AB251" i="8"/>
  <c r="AB250" i="8"/>
  <c r="AB249" i="8"/>
  <c r="AB248" i="8"/>
  <c r="AB247" i="8"/>
  <c r="AB246" i="8"/>
  <c r="AB245" i="8"/>
  <c r="AB244" i="8"/>
  <c r="AB243" i="8"/>
  <c r="AB242" i="8"/>
  <c r="AB241" i="8"/>
  <c r="AB240" i="8"/>
  <c r="AB239" i="8"/>
  <c r="AB238" i="8"/>
  <c r="AB237" i="8"/>
  <c r="AB236" i="8"/>
  <c r="AB235" i="8"/>
  <c r="AB234" i="8"/>
  <c r="AB233" i="8"/>
  <c r="AB232" i="8"/>
  <c r="AB231" i="8"/>
  <c r="AB230" i="8"/>
  <c r="AB229" i="8"/>
  <c r="AB228" i="8"/>
  <c r="AB227" i="8"/>
  <c r="AB226" i="8"/>
  <c r="AB225" i="8"/>
  <c r="AB224" i="8"/>
  <c r="AB223" i="8"/>
  <c r="AB222" i="8"/>
  <c r="AB221" i="8"/>
  <c r="AB220" i="8"/>
  <c r="AB219" i="8"/>
  <c r="AB218" i="8"/>
  <c r="AB217" i="8"/>
  <c r="AB216" i="8"/>
  <c r="AB215" i="8"/>
  <c r="AB214" i="8"/>
  <c r="AB213" i="8"/>
  <c r="AB212" i="8"/>
  <c r="AB211" i="8"/>
  <c r="AB210" i="8"/>
  <c r="AB209" i="8"/>
  <c r="AB208" i="8"/>
  <c r="AB207" i="8"/>
  <c r="AB206" i="8"/>
  <c r="AB205" i="8"/>
  <c r="AB204" i="8"/>
  <c r="AB203" i="8"/>
  <c r="AB202" i="8"/>
  <c r="AB201" i="8"/>
  <c r="AB200" i="8"/>
  <c r="AB199" i="8"/>
  <c r="AB198" i="8"/>
  <c r="AB197" i="8"/>
  <c r="AB196" i="8"/>
  <c r="AB195" i="8"/>
  <c r="AB194" i="8"/>
  <c r="AB193" i="8"/>
  <c r="AB192" i="8"/>
  <c r="AB191" i="8"/>
  <c r="AB190" i="8"/>
  <c r="AB189" i="8"/>
  <c r="AB188" i="8"/>
  <c r="AB187" i="8"/>
  <c r="AB186" i="8"/>
  <c r="AB185" i="8"/>
  <c r="AB184" i="8"/>
  <c r="AB183" i="8"/>
  <c r="AB182" i="8"/>
  <c r="AB181" i="8"/>
  <c r="AB180" i="8"/>
  <c r="AB179" i="8"/>
  <c r="AB178" i="8"/>
  <c r="AB177" i="8"/>
  <c r="AB176" i="8"/>
  <c r="AB175" i="8"/>
  <c r="AB174" i="8"/>
  <c r="AB173" i="8"/>
  <c r="AB172" i="8"/>
  <c r="AB171" i="8"/>
  <c r="AB170" i="8"/>
  <c r="AB169" i="8"/>
  <c r="AB168" i="8"/>
  <c r="AB167" i="8"/>
  <c r="AB166" i="8"/>
  <c r="AB165" i="8"/>
  <c r="AB164" i="8"/>
  <c r="AB163" i="8"/>
  <c r="AB162" i="8"/>
  <c r="AB161" i="8"/>
  <c r="AB160" i="8"/>
  <c r="AB159" i="8"/>
  <c r="AB158" i="8"/>
  <c r="AB157" i="8"/>
  <c r="AB156" i="8"/>
  <c r="AB155" i="8"/>
  <c r="AB154" i="8"/>
  <c r="AB153" i="8"/>
  <c r="AB152" i="8"/>
  <c r="AB151" i="8"/>
  <c r="AB150" i="8"/>
  <c r="AB149" i="8"/>
  <c r="AB148" i="8"/>
  <c r="AB147" i="8"/>
  <c r="AB146" i="8"/>
  <c r="AB145" i="8"/>
  <c r="AB144" i="8"/>
  <c r="AB143" i="8"/>
  <c r="AB142" i="8"/>
  <c r="AB141" i="8"/>
  <c r="AB140" i="8"/>
  <c r="AB139" i="8"/>
  <c r="AB138" i="8"/>
  <c r="AB137" i="8"/>
  <c r="AB136" i="8"/>
  <c r="AB135" i="8"/>
  <c r="AB134" i="8"/>
  <c r="AB133" i="8"/>
  <c r="AB132" i="8"/>
  <c r="AB131" i="8"/>
  <c r="AB130" i="8"/>
  <c r="AB129" i="8"/>
  <c r="AB128" i="8"/>
  <c r="AB127" i="8"/>
  <c r="AB126" i="8"/>
  <c r="AB125" i="8"/>
  <c r="AB124" i="8"/>
  <c r="AB123" i="8"/>
  <c r="AB122" i="8"/>
  <c r="AB121" i="8"/>
  <c r="AB120" i="8"/>
  <c r="AB119" i="8"/>
  <c r="AB118" i="8"/>
  <c r="AB117" i="8"/>
  <c r="AB116" i="8"/>
  <c r="AB115" i="8"/>
  <c r="AB114" i="8"/>
  <c r="AB113" i="8"/>
  <c r="AB112" i="8"/>
  <c r="AB111" i="8"/>
  <c r="AB110" i="8"/>
  <c r="AB109" i="8"/>
  <c r="AB108" i="8"/>
  <c r="AB107" i="8"/>
  <c r="AB106" i="8"/>
  <c r="AB105" i="8"/>
  <c r="AB104" i="8"/>
  <c r="AB103" i="8"/>
  <c r="AB102" i="8"/>
  <c r="AB101" i="8"/>
  <c r="AB100" i="8"/>
  <c r="AB99" i="8"/>
  <c r="AB98" i="8"/>
  <c r="AB97" i="8"/>
  <c r="AB96" i="8"/>
  <c r="AB95" i="8"/>
  <c r="AB94" i="8"/>
  <c r="AB93" i="8"/>
  <c r="AB92" i="8"/>
  <c r="AB91" i="8"/>
  <c r="AB90" i="8"/>
  <c r="AB89" i="8"/>
  <c r="AB88" i="8"/>
  <c r="AB87" i="8"/>
  <c r="AB86" i="8"/>
  <c r="AB85" i="8"/>
  <c r="AB84" i="8"/>
  <c r="AB83" i="8"/>
  <c r="AB82" i="8"/>
  <c r="AB81" i="8"/>
  <c r="AB80" i="8"/>
  <c r="AB79" i="8"/>
  <c r="AB78" i="8"/>
  <c r="AB77" i="8"/>
  <c r="AB76" i="8"/>
  <c r="AB75" i="8"/>
  <c r="AB74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60" i="8"/>
  <c r="AB59" i="8"/>
  <c r="AB58" i="8"/>
  <c r="AB57" i="8"/>
  <c r="AB56" i="8"/>
  <c r="AB55" i="8"/>
  <c r="AB54" i="8"/>
  <c r="AB53" i="8"/>
  <c r="AB52" i="8"/>
  <c r="AB51" i="8"/>
  <c r="AB50" i="8"/>
  <c r="AB49" i="8"/>
  <c r="AB48" i="8"/>
  <c r="AB4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4" i="8"/>
  <c r="AB3" i="8"/>
  <c r="AB2" i="8"/>
  <c r="Z2" i="8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Y2" i="8"/>
  <c r="Y3" i="8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369" i="8"/>
  <c r="Y370" i="8"/>
  <c r="Y371" i="8"/>
  <c r="Y372" i="8"/>
  <c r="Y373" i="8"/>
  <c r="Y374" i="8"/>
  <c r="Y375" i="8"/>
  <c r="Y376" i="8"/>
  <c r="Y377" i="8"/>
  <c r="Y378" i="8"/>
  <c r="Y379" i="8"/>
  <c r="Y380" i="8"/>
  <c r="Y381" i="8"/>
  <c r="Y382" i="8"/>
  <c r="Y383" i="8"/>
  <c r="Y384" i="8"/>
  <c r="Y385" i="8"/>
  <c r="Y386" i="8"/>
  <c r="Y387" i="8"/>
  <c r="Y388" i="8"/>
  <c r="Y389" i="8"/>
  <c r="Y390" i="8"/>
  <c r="Y391" i="8"/>
  <c r="Y392" i="8"/>
  <c r="Y393" i="8"/>
  <c r="Y394" i="8"/>
  <c r="Y395" i="8"/>
  <c r="Y396" i="8"/>
  <c r="Y397" i="8"/>
  <c r="Y398" i="8"/>
  <c r="Y399" i="8"/>
  <c r="Y400" i="8"/>
  <c r="Y401" i="8"/>
  <c r="Y402" i="8"/>
  <c r="Y403" i="8"/>
  <c r="Y404" i="8"/>
  <c r="Y405" i="8"/>
  <c r="Y406" i="8"/>
  <c r="Y407" i="8"/>
  <c r="Y408" i="8"/>
  <c r="Y409" i="8"/>
  <c r="Y410" i="8"/>
  <c r="Y411" i="8"/>
  <c r="Y412" i="8"/>
  <c r="Y413" i="8"/>
  <c r="Y414" i="8"/>
  <c r="Y415" i="8"/>
  <c r="Y416" i="8"/>
  <c r="Y417" i="8"/>
  <c r="Y418" i="8"/>
  <c r="Y419" i="8"/>
  <c r="Y420" i="8"/>
  <c r="Y421" i="8"/>
  <c r="Y422" i="8"/>
  <c r="Y423" i="8"/>
  <c r="Y424" i="8"/>
  <c r="Y425" i="8"/>
  <c r="Y426" i="8"/>
  <c r="Y427" i="8"/>
  <c r="Y428" i="8"/>
  <c r="Y429" i="8"/>
  <c r="Y430" i="8"/>
  <c r="Y431" i="8"/>
  <c r="Y432" i="8"/>
  <c r="Y433" i="8"/>
  <c r="Y434" i="8"/>
  <c r="Y435" i="8"/>
  <c r="Y436" i="8"/>
  <c r="Y437" i="8"/>
  <c r="Y438" i="8"/>
  <c r="Y439" i="8"/>
  <c r="Y440" i="8"/>
  <c r="Y441" i="8"/>
  <c r="Y442" i="8"/>
  <c r="Y443" i="8"/>
  <c r="Y444" i="8"/>
  <c r="Y445" i="8"/>
  <c r="Y446" i="8"/>
  <c r="Y447" i="8"/>
  <c r="Y448" i="8"/>
  <c r="Y449" i="8"/>
  <c r="Y450" i="8"/>
  <c r="Y451" i="8"/>
  <c r="Y452" i="8"/>
  <c r="Y453" i="8"/>
  <c r="Y454" i="8"/>
  <c r="Y455" i="8"/>
  <c r="Y456" i="8"/>
  <c r="Y457" i="8"/>
  <c r="Y458" i="8"/>
  <c r="Y459" i="8"/>
  <c r="Y460" i="8"/>
  <c r="Y461" i="8"/>
  <c r="Y462" i="8"/>
  <c r="Y463" i="8"/>
  <c r="Y464" i="8"/>
  <c r="Y465" i="8"/>
  <c r="Y466" i="8"/>
  <c r="Y467" i="8"/>
  <c r="Y468" i="8"/>
  <c r="Y469" i="8"/>
  <c r="Y470" i="8"/>
  <c r="Y471" i="8"/>
  <c r="Y472" i="8"/>
  <c r="Y473" i="8"/>
  <c r="Y474" i="8"/>
  <c r="Y475" i="8"/>
  <c r="Y476" i="8"/>
  <c r="Y477" i="8"/>
  <c r="Y478" i="8"/>
  <c r="Y479" i="8"/>
  <c r="Y480" i="8"/>
  <c r="Y481" i="8"/>
  <c r="Y482" i="8"/>
  <c r="Y483" i="8"/>
  <c r="Y484" i="8"/>
  <c r="Y485" i="8"/>
  <c r="Y486" i="8"/>
  <c r="Y487" i="8"/>
  <c r="Y488" i="8"/>
  <c r="Y489" i="8"/>
  <c r="Y490" i="8"/>
  <c r="Y491" i="8"/>
  <c r="Y492" i="8"/>
  <c r="Y493" i="8"/>
  <c r="Y494" i="8"/>
  <c r="Y495" i="8"/>
  <c r="Y496" i="8"/>
  <c r="Y497" i="8"/>
  <c r="Y498" i="8"/>
  <c r="Y499" i="8"/>
  <c r="Y500" i="8"/>
  <c r="Y501" i="8"/>
  <c r="Y502" i="8"/>
  <c r="Y503" i="8"/>
  <c r="Y504" i="8"/>
  <c r="Y505" i="8"/>
  <c r="Y506" i="8"/>
  <c r="Y507" i="8"/>
  <c r="Y508" i="8"/>
  <c r="Y509" i="8"/>
  <c r="Y510" i="8"/>
  <c r="Y511" i="8"/>
  <c r="Y512" i="8"/>
  <c r="Y513" i="8"/>
  <c r="Y514" i="8"/>
  <c r="Y515" i="8"/>
  <c r="Y516" i="8"/>
  <c r="Y517" i="8"/>
  <c r="Y518" i="8"/>
  <c r="Y519" i="8"/>
  <c r="Y520" i="8"/>
  <c r="Y521" i="8"/>
  <c r="Y522" i="8"/>
  <c r="Y523" i="8"/>
  <c r="Y524" i="8"/>
  <c r="Y525" i="8"/>
  <c r="Y526" i="8"/>
  <c r="Y527" i="8"/>
  <c r="Y528" i="8"/>
  <c r="Y529" i="8"/>
  <c r="Y530" i="8"/>
  <c r="Y531" i="8"/>
  <c r="Y532" i="8"/>
  <c r="Y533" i="8"/>
  <c r="Y534" i="8"/>
  <c r="Y535" i="8"/>
  <c r="Y536" i="8"/>
  <c r="Y537" i="8"/>
  <c r="Y538" i="8"/>
  <c r="Y539" i="8"/>
  <c r="Y540" i="8"/>
  <c r="Y541" i="8"/>
  <c r="Y542" i="8"/>
  <c r="Y543" i="8"/>
  <c r="Y544" i="8"/>
  <c r="Y545" i="8"/>
  <c r="Y546" i="8"/>
  <c r="Y547" i="8"/>
  <c r="Y548" i="8"/>
  <c r="Y549" i="8"/>
  <c r="Y550" i="8"/>
  <c r="Y551" i="8"/>
  <c r="Y552" i="8"/>
  <c r="Y553" i="8"/>
  <c r="Y554" i="8"/>
  <c r="Y555" i="8"/>
  <c r="Y556" i="8"/>
  <c r="Y557" i="8"/>
  <c r="Y558" i="8"/>
  <c r="Y559" i="8"/>
  <c r="Y560" i="8"/>
  <c r="Y561" i="8"/>
  <c r="Y562" i="8"/>
  <c r="Q1" i="10"/>
  <c r="AA3" i="8"/>
  <c r="AA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V459" i="8"/>
  <c r="V460" i="8"/>
  <c r="V461" i="8"/>
  <c r="V462" i="8"/>
  <c r="V463" i="8"/>
  <c r="V464" i="8"/>
  <c r="V465" i="8"/>
  <c r="V466" i="8"/>
  <c r="V467" i="8"/>
  <c r="V468" i="8"/>
  <c r="V469" i="8"/>
  <c r="V470" i="8"/>
  <c r="V471" i="8"/>
  <c r="V472" i="8"/>
  <c r="V473" i="8"/>
  <c r="V474" i="8"/>
  <c r="V475" i="8"/>
  <c r="V476" i="8"/>
  <c r="V477" i="8"/>
  <c r="V478" i="8"/>
  <c r="V479" i="8"/>
  <c r="V480" i="8"/>
  <c r="V481" i="8"/>
  <c r="V482" i="8"/>
  <c r="V483" i="8"/>
  <c r="V484" i="8"/>
  <c r="V485" i="8"/>
  <c r="V486" i="8"/>
  <c r="V487" i="8"/>
  <c r="V488" i="8"/>
  <c r="V489" i="8"/>
  <c r="V490" i="8"/>
  <c r="V491" i="8"/>
  <c r="V492" i="8"/>
  <c r="V493" i="8"/>
  <c r="V494" i="8"/>
  <c r="V495" i="8"/>
  <c r="V496" i="8"/>
  <c r="V497" i="8"/>
  <c r="V498" i="8"/>
  <c r="V499" i="8"/>
  <c r="V500" i="8"/>
  <c r="V501" i="8"/>
  <c r="V502" i="8"/>
  <c r="V503" i="8"/>
  <c r="V504" i="8"/>
  <c r="V505" i="8"/>
  <c r="V506" i="8"/>
  <c r="V507" i="8"/>
  <c r="V508" i="8"/>
  <c r="V509" i="8"/>
  <c r="V510" i="8"/>
  <c r="V511" i="8"/>
  <c r="V512" i="8"/>
  <c r="V513" i="8"/>
  <c r="V514" i="8"/>
  <c r="V515" i="8"/>
  <c r="V516" i="8"/>
  <c r="V517" i="8"/>
  <c r="V518" i="8"/>
  <c r="V519" i="8"/>
  <c r="V520" i="8"/>
  <c r="V521" i="8"/>
  <c r="V522" i="8"/>
  <c r="V523" i="8"/>
  <c r="V524" i="8"/>
  <c r="V525" i="8"/>
  <c r="V526" i="8"/>
  <c r="V527" i="8"/>
  <c r="V528" i="8"/>
  <c r="V529" i="8"/>
  <c r="V530" i="8"/>
  <c r="V531" i="8"/>
  <c r="V532" i="8"/>
  <c r="V533" i="8"/>
  <c r="V534" i="8"/>
  <c r="V535" i="8"/>
  <c r="V536" i="8"/>
  <c r="V537" i="8"/>
  <c r="V538" i="8"/>
  <c r="V539" i="8"/>
  <c r="V540" i="8"/>
  <c r="V541" i="8"/>
  <c r="V542" i="8"/>
  <c r="V543" i="8"/>
  <c r="V544" i="8"/>
  <c r="V545" i="8"/>
  <c r="V546" i="8"/>
  <c r="V547" i="8"/>
  <c r="V548" i="8"/>
  <c r="V549" i="8"/>
  <c r="V550" i="8"/>
  <c r="V551" i="8"/>
  <c r="V552" i="8"/>
  <c r="V553" i="8"/>
  <c r="V554" i="8"/>
  <c r="V555" i="8"/>
  <c r="V556" i="8"/>
  <c r="V557" i="8"/>
  <c r="V558" i="8"/>
  <c r="V559" i="8"/>
  <c r="V560" i="8"/>
  <c r="V561" i="8"/>
  <c r="V562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X459" i="8"/>
  <c r="X460" i="8"/>
  <c r="X461" i="8"/>
  <c r="X462" i="8"/>
  <c r="X463" i="8"/>
  <c r="X464" i="8"/>
  <c r="X465" i="8"/>
  <c r="X466" i="8"/>
  <c r="X467" i="8"/>
  <c r="X468" i="8"/>
  <c r="X469" i="8"/>
  <c r="X470" i="8"/>
  <c r="X471" i="8"/>
  <c r="X472" i="8"/>
  <c r="X473" i="8"/>
  <c r="X474" i="8"/>
  <c r="X475" i="8"/>
  <c r="X476" i="8"/>
  <c r="X477" i="8"/>
  <c r="X478" i="8"/>
  <c r="X479" i="8"/>
  <c r="X480" i="8"/>
  <c r="X481" i="8"/>
  <c r="X482" i="8"/>
  <c r="X483" i="8"/>
  <c r="X484" i="8"/>
  <c r="X485" i="8"/>
  <c r="X486" i="8"/>
  <c r="X487" i="8"/>
  <c r="X488" i="8"/>
  <c r="X489" i="8"/>
  <c r="X490" i="8"/>
  <c r="X491" i="8"/>
  <c r="X492" i="8"/>
  <c r="X493" i="8"/>
  <c r="X494" i="8"/>
  <c r="X495" i="8"/>
  <c r="X496" i="8"/>
  <c r="X497" i="8"/>
  <c r="X498" i="8"/>
  <c r="X499" i="8"/>
  <c r="X500" i="8"/>
  <c r="X501" i="8"/>
  <c r="X502" i="8"/>
  <c r="X503" i="8"/>
  <c r="X504" i="8"/>
  <c r="X505" i="8"/>
  <c r="X506" i="8"/>
  <c r="X507" i="8"/>
  <c r="X508" i="8"/>
  <c r="X509" i="8"/>
  <c r="X510" i="8"/>
  <c r="X511" i="8"/>
  <c r="X512" i="8"/>
  <c r="X513" i="8"/>
  <c r="X514" i="8"/>
  <c r="X515" i="8"/>
  <c r="X516" i="8"/>
  <c r="X517" i="8"/>
  <c r="X518" i="8"/>
  <c r="X519" i="8"/>
  <c r="X520" i="8"/>
  <c r="X521" i="8"/>
  <c r="X522" i="8"/>
  <c r="X523" i="8"/>
  <c r="X524" i="8"/>
  <c r="X525" i="8"/>
  <c r="X526" i="8"/>
  <c r="X527" i="8"/>
  <c r="X528" i="8"/>
  <c r="X529" i="8"/>
  <c r="X530" i="8"/>
  <c r="X531" i="8"/>
  <c r="X532" i="8"/>
  <c r="X533" i="8"/>
  <c r="X534" i="8"/>
  <c r="X535" i="8"/>
  <c r="X536" i="8"/>
  <c r="X537" i="8"/>
  <c r="X538" i="8"/>
  <c r="X539" i="8"/>
  <c r="X540" i="8"/>
  <c r="X541" i="8"/>
  <c r="X542" i="8"/>
  <c r="X543" i="8"/>
  <c r="X544" i="8"/>
  <c r="X545" i="8"/>
  <c r="X546" i="8"/>
  <c r="X547" i="8"/>
  <c r="X548" i="8"/>
  <c r="X549" i="8"/>
  <c r="X550" i="8"/>
  <c r="X551" i="8"/>
  <c r="X552" i="8"/>
  <c r="X553" i="8"/>
  <c r="X554" i="8"/>
  <c r="X555" i="8"/>
  <c r="X556" i="8"/>
  <c r="X557" i="8"/>
  <c r="X558" i="8"/>
  <c r="X559" i="8"/>
  <c r="X560" i="8"/>
  <c r="X561" i="8"/>
  <c r="X562" i="8"/>
  <c r="AA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V159" i="8"/>
  <c r="V160" i="8"/>
  <c r="V161" i="8"/>
  <c r="V162" i="8"/>
  <c r="V163" i="8"/>
  <c r="V164" i="8"/>
  <c r="V165" i="8"/>
  <c r="V166" i="8"/>
  <c r="V167" i="8"/>
  <c r="V168" i="8"/>
  <c r="V169" i="8"/>
  <c r="V170" i="8"/>
  <c r="V171" i="8"/>
  <c r="V172" i="8"/>
  <c r="V173" i="8"/>
  <c r="V174" i="8"/>
  <c r="V175" i="8"/>
  <c r="V176" i="8"/>
  <c r="V177" i="8"/>
  <c r="V178" i="8"/>
  <c r="V179" i="8"/>
  <c r="V180" i="8"/>
  <c r="V181" i="8"/>
  <c r="V182" i="8"/>
  <c r="V183" i="8"/>
  <c r="V184" i="8"/>
  <c r="V185" i="8"/>
  <c r="V186" i="8"/>
  <c r="V187" i="8"/>
  <c r="V188" i="8"/>
  <c r="V189" i="8"/>
  <c r="V190" i="8"/>
  <c r="V191" i="8"/>
  <c r="V192" i="8"/>
  <c r="V193" i="8"/>
  <c r="V194" i="8"/>
  <c r="V195" i="8"/>
  <c r="V196" i="8"/>
  <c r="V197" i="8"/>
  <c r="V198" i="8"/>
  <c r="V199" i="8"/>
  <c r="V200" i="8"/>
  <c r="V201" i="8"/>
  <c r="V202" i="8"/>
  <c r="V203" i="8"/>
  <c r="V204" i="8"/>
  <c r="V205" i="8"/>
  <c r="V206" i="8"/>
  <c r="V207" i="8"/>
  <c r="V208" i="8"/>
  <c r="V209" i="8"/>
  <c r="V210" i="8"/>
  <c r="V211" i="8"/>
  <c r="V212" i="8"/>
  <c r="V213" i="8"/>
  <c r="V214" i="8"/>
  <c r="V215" i="8"/>
  <c r="V216" i="8"/>
  <c r="V217" i="8"/>
  <c r="V218" i="8"/>
  <c r="V219" i="8"/>
  <c r="V220" i="8"/>
  <c r="V221" i="8"/>
  <c r="V222" i="8"/>
  <c r="V223" i="8"/>
  <c r="V224" i="8"/>
  <c r="V225" i="8"/>
  <c r="V226" i="8"/>
  <c r="V227" i="8"/>
  <c r="V228" i="8"/>
  <c r="V229" i="8"/>
  <c r="V230" i="8"/>
  <c r="V231" i="8"/>
  <c r="V232" i="8"/>
  <c r="V233" i="8"/>
  <c r="V234" i="8"/>
  <c r="V235" i="8"/>
  <c r="V236" i="8"/>
  <c r="V237" i="8"/>
  <c r="V238" i="8"/>
  <c r="V239" i="8"/>
  <c r="V240" i="8"/>
  <c r="V241" i="8"/>
  <c r="V242" i="8"/>
  <c r="V243" i="8"/>
  <c r="V244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V306" i="8"/>
  <c r="V307" i="8"/>
  <c r="V308" i="8"/>
  <c r="V309" i="8"/>
  <c r="V310" i="8"/>
  <c r="V311" i="8"/>
  <c r="V312" i="8"/>
  <c r="V313" i="8"/>
  <c r="V314" i="8"/>
  <c r="V315" i="8"/>
  <c r="V316" i="8"/>
  <c r="V317" i="8"/>
  <c r="V318" i="8"/>
  <c r="V319" i="8"/>
  <c r="V320" i="8"/>
  <c r="V321" i="8"/>
  <c r="V322" i="8"/>
  <c r="V323" i="8"/>
  <c r="V324" i="8"/>
  <c r="V325" i="8"/>
  <c r="V326" i="8"/>
  <c r="V327" i="8"/>
  <c r="V328" i="8"/>
  <c r="V329" i="8"/>
  <c r="V330" i="8"/>
  <c r="V331" i="8"/>
  <c r="V332" i="8"/>
  <c r="V333" i="8"/>
  <c r="V334" i="8"/>
  <c r="V335" i="8"/>
  <c r="V336" i="8"/>
  <c r="V337" i="8"/>
  <c r="V338" i="8"/>
  <c r="V339" i="8"/>
  <c r="V340" i="8"/>
  <c r="V341" i="8"/>
  <c r="V342" i="8"/>
  <c r="V343" i="8"/>
  <c r="V344" i="8"/>
  <c r="V345" i="8"/>
  <c r="V346" i="8"/>
  <c r="V347" i="8"/>
  <c r="V348" i="8"/>
  <c r="V349" i="8"/>
  <c r="V350" i="8"/>
  <c r="V351" i="8"/>
  <c r="V352" i="8"/>
  <c r="V353" i="8"/>
  <c r="V354" i="8"/>
  <c r="V355" i="8"/>
  <c r="V356" i="8"/>
  <c r="V357" i="8"/>
  <c r="V358" i="8"/>
  <c r="V359" i="8"/>
  <c r="V360" i="8"/>
  <c r="V361" i="8"/>
  <c r="V362" i="8"/>
  <c r="V363" i="8"/>
  <c r="V364" i="8"/>
  <c r="V365" i="8"/>
  <c r="V366" i="8"/>
  <c r="V367" i="8"/>
  <c r="V368" i="8"/>
  <c r="V369" i="8"/>
  <c r="V370" i="8"/>
  <c r="V371" i="8"/>
  <c r="V372" i="8"/>
  <c r="V373" i="8"/>
  <c r="V374" i="8"/>
  <c r="V375" i="8"/>
  <c r="V376" i="8"/>
  <c r="V377" i="8"/>
  <c r="V378" i="8"/>
  <c r="V379" i="8"/>
  <c r="V380" i="8"/>
  <c r="V381" i="8"/>
  <c r="V382" i="8"/>
  <c r="V383" i="8"/>
  <c r="V384" i="8"/>
  <c r="V385" i="8"/>
  <c r="V386" i="8"/>
  <c r="V387" i="8"/>
  <c r="V388" i="8"/>
  <c r="V389" i="8"/>
  <c r="V390" i="8"/>
  <c r="V391" i="8"/>
  <c r="V392" i="8"/>
  <c r="V393" i="8"/>
  <c r="V394" i="8"/>
  <c r="V395" i="8"/>
  <c r="V396" i="8"/>
  <c r="V397" i="8"/>
  <c r="V398" i="8"/>
  <c r="V399" i="8"/>
  <c r="V400" i="8"/>
  <c r="V401" i="8"/>
  <c r="V402" i="8"/>
  <c r="V403" i="8"/>
  <c r="V404" i="8"/>
  <c r="V405" i="8"/>
  <c r="V406" i="8"/>
  <c r="V407" i="8"/>
  <c r="V408" i="8"/>
  <c r="V409" i="8"/>
  <c r="V410" i="8"/>
  <c r="V411" i="8"/>
  <c r="V412" i="8"/>
  <c r="V413" i="8"/>
  <c r="V414" i="8"/>
  <c r="V415" i="8"/>
  <c r="V416" i="8"/>
  <c r="V417" i="8"/>
  <c r="V418" i="8"/>
  <c r="V419" i="8"/>
  <c r="V420" i="8"/>
  <c r="V421" i="8"/>
  <c r="V422" i="8"/>
  <c r="V423" i="8"/>
  <c r="V424" i="8"/>
  <c r="V425" i="8"/>
  <c r="V426" i="8"/>
  <c r="V427" i="8"/>
  <c r="V428" i="8"/>
  <c r="V429" i="8"/>
  <c r="V430" i="8"/>
  <c r="V431" i="8"/>
  <c r="V432" i="8"/>
  <c r="V433" i="8"/>
  <c r="V434" i="8"/>
  <c r="V435" i="8"/>
  <c r="V436" i="8"/>
  <c r="V437" i="8"/>
  <c r="V438" i="8"/>
  <c r="V439" i="8"/>
  <c r="V440" i="8"/>
  <c r="V441" i="8"/>
  <c r="V442" i="8"/>
  <c r="V443" i="8"/>
  <c r="V444" i="8"/>
  <c r="V445" i="8"/>
  <c r="V446" i="8"/>
  <c r="V447" i="8"/>
  <c r="V448" i="8"/>
  <c r="V449" i="8"/>
  <c r="V450" i="8"/>
  <c r="V451" i="8"/>
  <c r="V452" i="8"/>
  <c r="V453" i="8"/>
  <c r="V454" i="8"/>
  <c r="V455" i="8"/>
  <c r="V456" i="8"/>
  <c r="V457" i="8"/>
  <c r="V458" i="8"/>
  <c r="V2" i="8"/>
  <c r="H3" i="9"/>
  <c r="G3" i="9"/>
  <c r="G4" i="9"/>
  <c r="I3" i="9"/>
  <c r="I4" i="9"/>
  <c r="W3" i="8"/>
  <c r="X3" i="8"/>
  <c r="W4" i="8"/>
  <c r="X4" i="8"/>
  <c r="W5" i="8"/>
  <c r="X5" i="8"/>
  <c r="W6" i="8"/>
  <c r="X6" i="8"/>
  <c r="W7" i="8"/>
  <c r="X7" i="8"/>
  <c r="W8" i="8"/>
  <c r="X8" i="8"/>
  <c r="W9" i="8"/>
  <c r="X9" i="8"/>
  <c r="W10" i="8"/>
  <c r="X10" i="8"/>
  <c r="W11" i="8"/>
  <c r="X11" i="8"/>
  <c r="W12" i="8"/>
  <c r="X12" i="8"/>
  <c r="W13" i="8"/>
  <c r="X13" i="8"/>
  <c r="W14" i="8"/>
  <c r="X14" i="8"/>
  <c r="W15" i="8"/>
  <c r="X15" i="8"/>
  <c r="W16" i="8"/>
  <c r="X16" i="8"/>
  <c r="W17" i="8"/>
  <c r="X17" i="8"/>
  <c r="W18" i="8"/>
  <c r="X18" i="8"/>
  <c r="W19" i="8"/>
  <c r="X19" i="8"/>
  <c r="W20" i="8"/>
  <c r="X20" i="8"/>
  <c r="W21" i="8"/>
  <c r="X21" i="8"/>
  <c r="W22" i="8"/>
  <c r="X22" i="8"/>
  <c r="W23" i="8"/>
  <c r="X23" i="8"/>
  <c r="W24" i="8"/>
  <c r="X24" i="8"/>
  <c r="W25" i="8"/>
  <c r="X25" i="8"/>
  <c r="W26" i="8"/>
  <c r="X26" i="8"/>
  <c r="W27" i="8"/>
  <c r="X27" i="8"/>
  <c r="W28" i="8"/>
  <c r="X28" i="8"/>
  <c r="W29" i="8"/>
  <c r="X29" i="8"/>
  <c r="W30" i="8"/>
  <c r="X30" i="8"/>
  <c r="W31" i="8"/>
  <c r="X31" i="8"/>
  <c r="W32" i="8"/>
  <c r="X32" i="8"/>
  <c r="W33" i="8"/>
  <c r="X33" i="8"/>
  <c r="W34" i="8"/>
  <c r="X34" i="8"/>
  <c r="W35" i="8"/>
  <c r="X35" i="8"/>
  <c r="W36" i="8"/>
  <c r="X36" i="8"/>
  <c r="W37" i="8"/>
  <c r="X37" i="8"/>
  <c r="W38" i="8"/>
  <c r="X38" i="8"/>
  <c r="W39" i="8"/>
  <c r="X39" i="8"/>
  <c r="W40" i="8"/>
  <c r="X40" i="8"/>
  <c r="W41" i="8"/>
  <c r="X41" i="8"/>
  <c r="W42" i="8"/>
  <c r="X42" i="8"/>
  <c r="W43" i="8"/>
  <c r="X43" i="8"/>
  <c r="W44" i="8"/>
  <c r="X44" i="8"/>
  <c r="W45" i="8"/>
  <c r="X45" i="8"/>
  <c r="W46" i="8"/>
  <c r="X46" i="8"/>
  <c r="W47" i="8"/>
  <c r="X47" i="8"/>
  <c r="W48" i="8"/>
  <c r="X48" i="8"/>
  <c r="W49" i="8"/>
  <c r="X49" i="8"/>
  <c r="W50" i="8"/>
  <c r="X50" i="8"/>
  <c r="W51" i="8"/>
  <c r="X51" i="8"/>
  <c r="W52" i="8"/>
  <c r="X52" i="8"/>
  <c r="W53" i="8"/>
  <c r="X53" i="8"/>
  <c r="W54" i="8"/>
  <c r="X54" i="8"/>
  <c r="W55" i="8"/>
  <c r="X55" i="8"/>
  <c r="W56" i="8"/>
  <c r="X56" i="8"/>
  <c r="W57" i="8"/>
  <c r="X57" i="8"/>
  <c r="W58" i="8"/>
  <c r="X58" i="8"/>
  <c r="W59" i="8"/>
  <c r="X59" i="8"/>
  <c r="W60" i="8"/>
  <c r="X60" i="8"/>
  <c r="W61" i="8"/>
  <c r="X61" i="8"/>
  <c r="W62" i="8"/>
  <c r="X62" i="8"/>
  <c r="W63" i="8"/>
  <c r="X63" i="8"/>
  <c r="W64" i="8"/>
  <c r="X64" i="8"/>
  <c r="W65" i="8"/>
  <c r="X65" i="8"/>
  <c r="W66" i="8"/>
  <c r="X66" i="8"/>
  <c r="W67" i="8"/>
  <c r="X67" i="8"/>
  <c r="W68" i="8"/>
  <c r="X68" i="8"/>
  <c r="W69" i="8"/>
  <c r="X69" i="8"/>
  <c r="W70" i="8"/>
  <c r="X70" i="8"/>
  <c r="W71" i="8"/>
  <c r="X71" i="8"/>
  <c r="W72" i="8"/>
  <c r="X72" i="8"/>
  <c r="W73" i="8"/>
  <c r="X73" i="8"/>
  <c r="W74" i="8"/>
  <c r="X74" i="8"/>
  <c r="W75" i="8"/>
  <c r="X75" i="8"/>
  <c r="W76" i="8"/>
  <c r="X76" i="8"/>
  <c r="W77" i="8"/>
  <c r="X77" i="8"/>
  <c r="W78" i="8"/>
  <c r="X78" i="8"/>
  <c r="W79" i="8"/>
  <c r="X79" i="8"/>
  <c r="W80" i="8"/>
  <c r="X80" i="8"/>
  <c r="W81" i="8"/>
  <c r="X81" i="8"/>
  <c r="W82" i="8"/>
  <c r="X82" i="8"/>
  <c r="W83" i="8"/>
  <c r="X83" i="8"/>
  <c r="W84" i="8"/>
  <c r="X84" i="8"/>
  <c r="W85" i="8"/>
  <c r="X85" i="8"/>
  <c r="W86" i="8"/>
  <c r="X86" i="8"/>
  <c r="W87" i="8"/>
  <c r="X87" i="8"/>
  <c r="W88" i="8"/>
  <c r="X88" i="8"/>
  <c r="W89" i="8"/>
  <c r="X89" i="8"/>
  <c r="W90" i="8"/>
  <c r="X90" i="8"/>
  <c r="W91" i="8"/>
  <c r="X91" i="8"/>
  <c r="W92" i="8"/>
  <c r="X92" i="8"/>
  <c r="W93" i="8"/>
  <c r="X93" i="8"/>
  <c r="W94" i="8"/>
  <c r="X94" i="8"/>
  <c r="W95" i="8"/>
  <c r="X95" i="8"/>
  <c r="W96" i="8"/>
  <c r="X96" i="8"/>
  <c r="W97" i="8"/>
  <c r="X97" i="8"/>
  <c r="W98" i="8"/>
  <c r="X98" i="8"/>
  <c r="W99" i="8"/>
  <c r="X99" i="8"/>
  <c r="W100" i="8"/>
  <c r="X100" i="8"/>
  <c r="W101" i="8"/>
  <c r="X101" i="8"/>
  <c r="W102" i="8"/>
  <c r="X102" i="8"/>
  <c r="W103" i="8"/>
  <c r="X103" i="8"/>
  <c r="W104" i="8"/>
  <c r="X104" i="8"/>
  <c r="W105" i="8"/>
  <c r="X105" i="8"/>
  <c r="W106" i="8"/>
  <c r="X106" i="8"/>
  <c r="W107" i="8"/>
  <c r="X107" i="8"/>
  <c r="W108" i="8"/>
  <c r="X108" i="8"/>
  <c r="W109" i="8"/>
  <c r="X109" i="8"/>
  <c r="W110" i="8"/>
  <c r="X110" i="8"/>
  <c r="W111" i="8"/>
  <c r="X111" i="8"/>
  <c r="W112" i="8"/>
  <c r="X112" i="8"/>
  <c r="W113" i="8"/>
  <c r="X113" i="8"/>
  <c r="W114" i="8"/>
  <c r="X114" i="8"/>
  <c r="W115" i="8"/>
  <c r="X115" i="8"/>
  <c r="W116" i="8"/>
  <c r="X116" i="8"/>
  <c r="W117" i="8"/>
  <c r="X117" i="8"/>
  <c r="W118" i="8"/>
  <c r="X118" i="8"/>
  <c r="W119" i="8"/>
  <c r="X119" i="8"/>
  <c r="W120" i="8"/>
  <c r="X120" i="8"/>
  <c r="W121" i="8"/>
  <c r="X121" i="8"/>
  <c r="W122" i="8"/>
  <c r="X122" i="8"/>
  <c r="W123" i="8"/>
  <c r="X123" i="8"/>
  <c r="W124" i="8"/>
  <c r="X124" i="8"/>
  <c r="W125" i="8"/>
  <c r="X125" i="8"/>
  <c r="W126" i="8"/>
  <c r="X126" i="8"/>
  <c r="W127" i="8"/>
  <c r="X127" i="8"/>
  <c r="W128" i="8"/>
  <c r="X128" i="8"/>
  <c r="W129" i="8"/>
  <c r="X129" i="8"/>
  <c r="W130" i="8"/>
  <c r="X130" i="8"/>
  <c r="W131" i="8"/>
  <c r="X131" i="8"/>
  <c r="W132" i="8"/>
  <c r="X132" i="8"/>
  <c r="W133" i="8"/>
  <c r="X133" i="8"/>
  <c r="W134" i="8"/>
  <c r="X134" i="8"/>
  <c r="W135" i="8"/>
  <c r="X135" i="8"/>
  <c r="W136" i="8"/>
  <c r="X136" i="8"/>
  <c r="W137" i="8"/>
  <c r="X137" i="8"/>
  <c r="W138" i="8"/>
  <c r="X138" i="8"/>
  <c r="W139" i="8"/>
  <c r="X139" i="8"/>
  <c r="W140" i="8"/>
  <c r="X140" i="8"/>
  <c r="W141" i="8"/>
  <c r="X141" i="8"/>
  <c r="W142" i="8"/>
  <c r="X142" i="8"/>
  <c r="W143" i="8"/>
  <c r="X143" i="8"/>
  <c r="W144" i="8"/>
  <c r="X144" i="8"/>
  <c r="W145" i="8"/>
  <c r="X145" i="8"/>
  <c r="W146" i="8"/>
  <c r="X146" i="8"/>
  <c r="W147" i="8"/>
  <c r="X147" i="8"/>
  <c r="W148" i="8"/>
  <c r="X148" i="8"/>
  <c r="W149" i="8"/>
  <c r="X149" i="8"/>
  <c r="W150" i="8"/>
  <c r="X150" i="8"/>
  <c r="W151" i="8"/>
  <c r="X151" i="8"/>
  <c r="W152" i="8"/>
  <c r="X152" i="8"/>
  <c r="W153" i="8"/>
  <c r="X153" i="8"/>
  <c r="W154" i="8"/>
  <c r="X154" i="8"/>
  <c r="W155" i="8"/>
  <c r="X155" i="8"/>
  <c r="W156" i="8"/>
  <c r="X156" i="8"/>
  <c r="W157" i="8"/>
  <c r="X157" i="8"/>
  <c r="W158" i="8"/>
  <c r="X158" i="8"/>
  <c r="W159" i="8"/>
  <c r="X159" i="8"/>
  <c r="W160" i="8"/>
  <c r="X160" i="8"/>
  <c r="W161" i="8"/>
  <c r="X161" i="8"/>
  <c r="W162" i="8"/>
  <c r="X162" i="8"/>
  <c r="W163" i="8"/>
  <c r="X163" i="8"/>
  <c r="W164" i="8"/>
  <c r="X164" i="8"/>
  <c r="W165" i="8"/>
  <c r="X165" i="8"/>
  <c r="W166" i="8"/>
  <c r="X166" i="8"/>
  <c r="W167" i="8"/>
  <c r="X167" i="8"/>
  <c r="W168" i="8"/>
  <c r="X168" i="8"/>
  <c r="W169" i="8"/>
  <c r="X169" i="8"/>
  <c r="W170" i="8"/>
  <c r="X170" i="8"/>
  <c r="W171" i="8"/>
  <c r="X171" i="8"/>
  <c r="W172" i="8"/>
  <c r="X172" i="8"/>
  <c r="W173" i="8"/>
  <c r="X173" i="8"/>
  <c r="W174" i="8"/>
  <c r="X174" i="8"/>
  <c r="W175" i="8"/>
  <c r="X175" i="8"/>
  <c r="W176" i="8"/>
  <c r="X176" i="8"/>
  <c r="W177" i="8"/>
  <c r="X177" i="8"/>
  <c r="W178" i="8"/>
  <c r="X178" i="8"/>
  <c r="W179" i="8"/>
  <c r="X179" i="8"/>
  <c r="W180" i="8"/>
  <c r="X180" i="8"/>
  <c r="W181" i="8"/>
  <c r="X181" i="8"/>
  <c r="W182" i="8"/>
  <c r="X182" i="8"/>
  <c r="W183" i="8"/>
  <c r="X183" i="8"/>
  <c r="W184" i="8"/>
  <c r="X184" i="8"/>
  <c r="W185" i="8"/>
  <c r="X185" i="8"/>
  <c r="W186" i="8"/>
  <c r="X186" i="8"/>
  <c r="W187" i="8"/>
  <c r="X187" i="8"/>
  <c r="W188" i="8"/>
  <c r="X188" i="8"/>
  <c r="W189" i="8"/>
  <c r="X189" i="8"/>
  <c r="W190" i="8"/>
  <c r="X190" i="8"/>
  <c r="W191" i="8"/>
  <c r="X191" i="8"/>
  <c r="W192" i="8"/>
  <c r="X192" i="8"/>
  <c r="W193" i="8"/>
  <c r="X193" i="8"/>
  <c r="W194" i="8"/>
  <c r="X194" i="8"/>
  <c r="W195" i="8"/>
  <c r="X195" i="8"/>
  <c r="W196" i="8"/>
  <c r="X196" i="8"/>
  <c r="W197" i="8"/>
  <c r="X197" i="8"/>
  <c r="W198" i="8"/>
  <c r="X198" i="8"/>
  <c r="W199" i="8"/>
  <c r="X199" i="8"/>
  <c r="W200" i="8"/>
  <c r="X200" i="8"/>
  <c r="W201" i="8"/>
  <c r="X201" i="8"/>
  <c r="W202" i="8"/>
  <c r="X202" i="8"/>
  <c r="W203" i="8"/>
  <c r="X203" i="8"/>
  <c r="W204" i="8"/>
  <c r="X204" i="8"/>
  <c r="W205" i="8"/>
  <c r="X205" i="8"/>
  <c r="W206" i="8"/>
  <c r="X206" i="8"/>
  <c r="W207" i="8"/>
  <c r="X207" i="8"/>
  <c r="W208" i="8"/>
  <c r="X208" i="8"/>
  <c r="W209" i="8"/>
  <c r="X209" i="8"/>
  <c r="W210" i="8"/>
  <c r="X210" i="8"/>
  <c r="W211" i="8"/>
  <c r="X211" i="8"/>
  <c r="W212" i="8"/>
  <c r="X212" i="8"/>
  <c r="W213" i="8"/>
  <c r="X213" i="8"/>
  <c r="W214" i="8"/>
  <c r="X214" i="8"/>
  <c r="W215" i="8"/>
  <c r="X215" i="8"/>
  <c r="W216" i="8"/>
  <c r="X216" i="8"/>
  <c r="W217" i="8"/>
  <c r="X217" i="8"/>
  <c r="W218" i="8"/>
  <c r="X218" i="8"/>
  <c r="W219" i="8"/>
  <c r="X219" i="8"/>
  <c r="W220" i="8"/>
  <c r="X220" i="8"/>
  <c r="W221" i="8"/>
  <c r="X221" i="8"/>
  <c r="W222" i="8"/>
  <c r="X222" i="8"/>
  <c r="W223" i="8"/>
  <c r="X223" i="8"/>
  <c r="W224" i="8"/>
  <c r="X224" i="8"/>
  <c r="W225" i="8"/>
  <c r="X225" i="8"/>
  <c r="W226" i="8"/>
  <c r="X226" i="8"/>
  <c r="W227" i="8"/>
  <c r="X227" i="8"/>
  <c r="W228" i="8"/>
  <c r="X228" i="8"/>
  <c r="W229" i="8"/>
  <c r="X229" i="8"/>
  <c r="W230" i="8"/>
  <c r="X230" i="8"/>
  <c r="W231" i="8"/>
  <c r="X231" i="8"/>
  <c r="W232" i="8"/>
  <c r="X232" i="8"/>
  <c r="W233" i="8"/>
  <c r="X233" i="8"/>
  <c r="W234" i="8"/>
  <c r="X234" i="8"/>
  <c r="W235" i="8"/>
  <c r="X235" i="8"/>
  <c r="W236" i="8"/>
  <c r="X236" i="8"/>
  <c r="W237" i="8"/>
  <c r="X237" i="8"/>
  <c r="W238" i="8"/>
  <c r="X238" i="8"/>
  <c r="W239" i="8"/>
  <c r="X239" i="8"/>
  <c r="W240" i="8"/>
  <c r="X240" i="8"/>
  <c r="W241" i="8"/>
  <c r="X241" i="8"/>
  <c r="W242" i="8"/>
  <c r="X242" i="8"/>
  <c r="W243" i="8"/>
  <c r="X243" i="8"/>
  <c r="W244" i="8"/>
  <c r="X244" i="8"/>
  <c r="W245" i="8"/>
  <c r="X245" i="8"/>
  <c r="W246" i="8"/>
  <c r="X246" i="8"/>
  <c r="W247" i="8"/>
  <c r="X247" i="8"/>
  <c r="W248" i="8"/>
  <c r="X248" i="8"/>
  <c r="W249" i="8"/>
  <c r="X249" i="8"/>
  <c r="W250" i="8"/>
  <c r="X250" i="8"/>
  <c r="W251" i="8"/>
  <c r="X251" i="8"/>
  <c r="W252" i="8"/>
  <c r="X252" i="8"/>
  <c r="W253" i="8"/>
  <c r="X253" i="8"/>
  <c r="W254" i="8"/>
  <c r="X254" i="8"/>
  <c r="W255" i="8"/>
  <c r="X255" i="8"/>
  <c r="W256" i="8"/>
  <c r="X256" i="8"/>
  <c r="W257" i="8"/>
  <c r="X257" i="8"/>
  <c r="W258" i="8"/>
  <c r="X258" i="8"/>
  <c r="W259" i="8"/>
  <c r="X259" i="8"/>
  <c r="W260" i="8"/>
  <c r="X260" i="8"/>
  <c r="W261" i="8"/>
  <c r="X261" i="8"/>
  <c r="W262" i="8"/>
  <c r="X262" i="8"/>
  <c r="W263" i="8"/>
  <c r="X263" i="8"/>
  <c r="W264" i="8"/>
  <c r="X264" i="8"/>
  <c r="W265" i="8"/>
  <c r="X265" i="8"/>
  <c r="W266" i="8"/>
  <c r="X266" i="8"/>
  <c r="W267" i="8"/>
  <c r="X267" i="8"/>
  <c r="W268" i="8"/>
  <c r="X268" i="8"/>
  <c r="W269" i="8"/>
  <c r="X269" i="8"/>
  <c r="W270" i="8"/>
  <c r="X270" i="8"/>
  <c r="W271" i="8"/>
  <c r="X271" i="8"/>
  <c r="W272" i="8"/>
  <c r="X272" i="8"/>
  <c r="W273" i="8"/>
  <c r="X273" i="8"/>
  <c r="W274" i="8"/>
  <c r="X274" i="8"/>
  <c r="W275" i="8"/>
  <c r="X275" i="8"/>
  <c r="W276" i="8"/>
  <c r="X276" i="8"/>
  <c r="W277" i="8"/>
  <c r="X277" i="8"/>
  <c r="W278" i="8"/>
  <c r="X278" i="8"/>
  <c r="W279" i="8"/>
  <c r="X279" i="8"/>
  <c r="W280" i="8"/>
  <c r="X280" i="8"/>
  <c r="W281" i="8"/>
  <c r="X281" i="8"/>
  <c r="W282" i="8"/>
  <c r="X282" i="8"/>
  <c r="W283" i="8"/>
  <c r="X283" i="8"/>
  <c r="W284" i="8"/>
  <c r="X284" i="8"/>
  <c r="W285" i="8"/>
  <c r="X285" i="8"/>
  <c r="W286" i="8"/>
  <c r="X286" i="8"/>
  <c r="W287" i="8"/>
  <c r="X287" i="8"/>
  <c r="W288" i="8"/>
  <c r="X288" i="8"/>
  <c r="W289" i="8"/>
  <c r="X289" i="8"/>
  <c r="W290" i="8"/>
  <c r="X290" i="8"/>
  <c r="W291" i="8"/>
  <c r="X291" i="8"/>
  <c r="W292" i="8"/>
  <c r="X292" i="8"/>
  <c r="W293" i="8"/>
  <c r="X293" i="8"/>
  <c r="W294" i="8"/>
  <c r="X294" i="8"/>
  <c r="W295" i="8"/>
  <c r="X295" i="8"/>
  <c r="W296" i="8"/>
  <c r="X296" i="8"/>
  <c r="W297" i="8"/>
  <c r="X297" i="8"/>
  <c r="W298" i="8"/>
  <c r="X298" i="8"/>
  <c r="W299" i="8"/>
  <c r="X299" i="8"/>
  <c r="W300" i="8"/>
  <c r="X300" i="8"/>
  <c r="W301" i="8"/>
  <c r="X301" i="8"/>
  <c r="W302" i="8"/>
  <c r="X302" i="8"/>
  <c r="W303" i="8"/>
  <c r="X303" i="8"/>
  <c r="W304" i="8"/>
  <c r="X304" i="8"/>
  <c r="W305" i="8"/>
  <c r="X305" i="8"/>
  <c r="W306" i="8"/>
  <c r="X306" i="8"/>
  <c r="W307" i="8"/>
  <c r="X307" i="8"/>
  <c r="W308" i="8"/>
  <c r="X308" i="8"/>
  <c r="W309" i="8"/>
  <c r="X309" i="8"/>
  <c r="W310" i="8"/>
  <c r="X310" i="8"/>
  <c r="W311" i="8"/>
  <c r="X311" i="8"/>
  <c r="W312" i="8"/>
  <c r="X312" i="8"/>
  <c r="W313" i="8"/>
  <c r="X313" i="8"/>
  <c r="W314" i="8"/>
  <c r="X314" i="8"/>
  <c r="W315" i="8"/>
  <c r="X315" i="8"/>
  <c r="W316" i="8"/>
  <c r="X316" i="8"/>
  <c r="W317" i="8"/>
  <c r="X317" i="8"/>
  <c r="W318" i="8"/>
  <c r="X318" i="8"/>
  <c r="W319" i="8"/>
  <c r="X319" i="8"/>
  <c r="W320" i="8"/>
  <c r="X320" i="8"/>
  <c r="W321" i="8"/>
  <c r="X321" i="8"/>
  <c r="W322" i="8"/>
  <c r="X322" i="8"/>
  <c r="W323" i="8"/>
  <c r="X323" i="8"/>
  <c r="W324" i="8"/>
  <c r="X324" i="8"/>
  <c r="W325" i="8"/>
  <c r="X325" i="8"/>
  <c r="W326" i="8"/>
  <c r="X326" i="8"/>
  <c r="W327" i="8"/>
  <c r="X327" i="8"/>
  <c r="W328" i="8"/>
  <c r="X328" i="8"/>
  <c r="W329" i="8"/>
  <c r="X329" i="8"/>
  <c r="W330" i="8"/>
  <c r="X330" i="8"/>
  <c r="W331" i="8"/>
  <c r="X331" i="8"/>
  <c r="W332" i="8"/>
  <c r="X332" i="8"/>
  <c r="W333" i="8"/>
  <c r="X333" i="8"/>
  <c r="W334" i="8"/>
  <c r="X334" i="8"/>
  <c r="W335" i="8"/>
  <c r="X335" i="8"/>
  <c r="W336" i="8"/>
  <c r="X336" i="8"/>
  <c r="W337" i="8"/>
  <c r="X337" i="8"/>
  <c r="W338" i="8"/>
  <c r="X338" i="8"/>
  <c r="W339" i="8"/>
  <c r="X339" i="8"/>
  <c r="W340" i="8"/>
  <c r="X340" i="8"/>
  <c r="W341" i="8"/>
  <c r="X341" i="8"/>
  <c r="W342" i="8"/>
  <c r="X342" i="8"/>
  <c r="W343" i="8"/>
  <c r="X343" i="8"/>
  <c r="W344" i="8"/>
  <c r="X344" i="8"/>
  <c r="W345" i="8"/>
  <c r="X345" i="8"/>
  <c r="W346" i="8"/>
  <c r="X346" i="8"/>
  <c r="W347" i="8"/>
  <c r="X347" i="8"/>
  <c r="W348" i="8"/>
  <c r="X348" i="8"/>
  <c r="W349" i="8"/>
  <c r="X349" i="8"/>
  <c r="W350" i="8"/>
  <c r="X350" i="8"/>
  <c r="W351" i="8"/>
  <c r="X351" i="8"/>
  <c r="W352" i="8"/>
  <c r="X352" i="8"/>
  <c r="W353" i="8"/>
  <c r="X353" i="8"/>
  <c r="W354" i="8"/>
  <c r="X354" i="8"/>
  <c r="W355" i="8"/>
  <c r="X355" i="8"/>
  <c r="W356" i="8"/>
  <c r="X356" i="8"/>
  <c r="W357" i="8"/>
  <c r="X357" i="8"/>
  <c r="W358" i="8"/>
  <c r="X358" i="8"/>
  <c r="W359" i="8"/>
  <c r="X359" i="8"/>
  <c r="W360" i="8"/>
  <c r="X360" i="8"/>
  <c r="W361" i="8"/>
  <c r="X361" i="8"/>
  <c r="W362" i="8"/>
  <c r="X362" i="8"/>
  <c r="W363" i="8"/>
  <c r="X363" i="8"/>
  <c r="W364" i="8"/>
  <c r="X364" i="8"/>
  <c r="W365" i="8"/>
  <c r="X365" i="8"/>
  <c r="W366" i="8"/>
  <c r="X366" i="8"/>
  <c r="W367" i="8"/>
  <c r="X367" i="8"/>
  <c r="W368" i="8"/>
  <c r="X368" i="8"/>
  <c r="W369" i="8"/>
  <c r="X369" i="8"/>
  <c r="W370" i="8"/>
  <c r="X370" i="8"/>
  <c r="W371" i="8"/>
  <c r="X371" i="8"/>
  <c r="W372" i="8"/>
  <c r="X372" i="8"/>
  <c r="W373" i="8"/>
  <c r="X373" i="8"/>
  <c r="W374" i="8"/>
  <c r="X374" i="8"/>
  <c r="W375" i="8"/>
  <c r="X375" i="8"/>
  <c r="W376" i="8"/>
  <c r="X376" i="8"/>
  <c r="W377" i="8"/>
  <c r="X377" i="8"/>
  <c r="W378" i="8"/>
  <c r="X378" i="8"/>
  <c r="W379" i="8"/>
  <c r="X379" i="8"/>
  <c r="W380" i="8"/>
  <c r="X380" i="8"/>
  <c r="W381" i="8"/>
  <c r="X381" i="8"/>
  <c r="W382" i="8"/>
  <c r="X382" i="8"/>
  <c r="W383" i="8"/>
  <c r="X383" i="8"/>
  <c r="W384" i="8"/>
  <c r="X384" i="8"/>
  <c r="W385" i="8"/>
  <c r="X385" i="8"/>
  <c r="W386" i="8"/>
  <c r="X386" i="8"/>
  <c r="W387" i="8"/>
  <c r="X387" i="8"/>
  <c r="W388" i="8"/>
  <c r="X388" i="8"/>
  <c r="W389" i="8"/>
  <c r="X389" i="8"/>
  <c r="W390" i="8"/>
  <c r="X390" i="8"/>
  <c r="W391" i="8"/>
  <c r="X391" i="8"/>
  <c r="W392" i="8"/>
  <c r="X392" i="8"/>
  <c r="W393" i="8"/>
  <c r="X393" i="8"/>
  <c r="W394" i="8"/>
  <c r="X394" i="8"/>
  <c r="W395" i="8"/>
  <c r="X395" i="8"/>
  <c r="W396" i="8"/>
  <c r="X396" i="8"/>
  <c r="W397" i="8"/>
  <c r="X397" i="8"/>
  <c r="W398" i="8"/>
  <c r="X398" i="8"/>
  <c r="W399" i="8"/>
  <c r="X399" i="8"/>
  <c r="W400" i="8"/>
  <c r="X400" i="8"/>
  <c r="W401" i="8"/>
  <c r="X401" i="8"/>
  <c r="W402" i="8"/>
  <c r="X402" i="8"/>
  <c r="W403" i="8"/>
  <c r="X403" i="8"/>
  <c r="W404" i="8"/>
  <c r="X404" i="8"/>
  <c r="W405" i="8"/>
  <c r="X405" i="8"/>
  <c r="W406" i="8"/>
  <c r="X406" i="8"/>
  <c r="W407" i="8"/>
  <c r="X407" i="8"/>
  <c r="W408" i="8"/>
  <c r="X408" i="8"/>
  <c r="W409" i="8"/>
  <c r="X409" i="8"/>
  <c r="W410" i="8"/>
  <c r="X410" i="8"/>
  <c r="W411" i="8"/>
  <c r="X411" i="8"/>
  <c r="W412" i="8"/>
  <c r="X412" i="8"/>
  <c r="W413" i="8"/>
  <c r="X413" i="8"/>
  <c r="W414" i="8"/>
  <c r="X414" i="8"/>
  <c r="W415" i="8"/>
  <c r="X415" i="8"/>
  <c r="W416" i="8"/>
  <c r="X416" i="8"/>
  <c r="W417" i="8"/>
  <c r="X417" i="8"/>
  <c r="W418" i="8"/>
  <c r="X418" i="8"/>
  <c r="W419" i="8"/>
  <c r="X419" i="8"/>
  <c r="W420" i="8"/>
  <c r="X420" i="8"/>
  <c r="W421" i="8"/>
  <c r="X421" i="8"/>
  <c r="W422" i="8"/>
  <c r="X422" i="8"/>
  <c r="W423" i="8"/>
  <c r="X423" i="8"/>
  <c r="W424" i="8"/>
  <c r="X424" i="8"/>
  <c r="W425" i="8"/>
  <c r="X425" i="8"/>
  <c r="W426" i="8"/>
  <c r="X426" i="8"/>
  <c r="W427" i="8"/>
  <c r="X427" i="8"/>
  <c r="W428" i="8"/>
  <c r="X428" i="8"/>
  <c r="W429" i="8"/>
  <c r="X429" i="8"/>
  <c r="W430" i="8"/>
  <c r="X430" i="8"/>
  <c r="W431" i="8"/>
  <c r="X431" i="8"/>
  <c r="W432" i="8"/>
  <c r="X432" i="8"/>
  <c r="W433" i="8"/>
  <c r="X433" i="8"/>
  <c r="W434" i="8"/>
  <c r="X434" i="8"/>
  <c r="W435" i="8"/>
  <c r="X435" i="8"/>
  <c r="W436" i="8"/>
  <c r="X436" i="8"/>
  <c r="W437" i="8"/>
  <c r="X437" i="8"/>
  <c r="W438" i="8"/>
  <c r="X438" i="8"/>
  <c r="W439" i="8"/>
  <c r="X439" i="8"/>
  <c r="W440" i="8"/>
  <c r="X440" i="8"/>
  <c r="W441" i="8"/>
  <c r="X441" i="8"/>
  <c r="W442" i="8"/>
  <c r="X442" i="8"/>
  <c r="W443" i="8"/>
  <c r="X443" i="8"/>
  <c r="W444" i="8"/>
  <c r="X444" i="8"/>
  <c r="W445" i="8"/>
  <c r="X445" i="8"/>
  <c r="W446" i="8"/>
  <c r="X446" i="8"/>
  <c r="W447" i="8"/>
  <c r="X447" i="8"/>
  <c r="W448" i="8"/>
  <c r="X448" i="8"/>
  <c r="W449" i="8"/>
  <c r="X449" i="8"/>
  <c r="W450" i="8"/>
  <c r="X450" i="8"/>
  <c r="W451" i="8"/>
  <c r="X451" i="8"/>
  <c r="W452" i="8"/>
  <c r="X452" i="8"/>
  <c r="W453" i="8"/>
  <c r="X453" i="8"/>
  <c r="W454" i="8"/>
  <c r="X454" i="8"/>
  <c r="W455" i="8"/>
  <c r="X455" i="8"/>
  <c r="W456" i="8"/>
  <c r="X456" i="8"/>
  <c r="W457" i="8"/>
  <c r="X457" i="8"/>
  <c r="W458" i="8"/>
  <c r="X458" i="8"/>
  <c r="W2" i="8"/>
  <c r="X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9F9EA4-4BE3-4479-9623-3FA3DCF77FE6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ABEB849-C4EE-46D3-9FF1-88B82F3AA203}" name="WorksheetConnection_DATA BASE BRANCH_NORMA BT_DEC SUD.xlsx!Tableau2" type="102" refreshedVersion="8" minRefreshableVersion="5">
    <extLst>
      <ext xmlns:x15="http://schemas.microsoft.com/office/spreadsheetml/2010/11/main" uri="{DE250136-89BD-433C-8126-D09CA5730AF9}">
        <x15:connection id="Tableau2" autoDelete="1">
          <x15:rangePr sourceName="_xlcn.WorksheetConnection_DATABASEBRANCH_NORMABT_DECSUD.xlsxTableau2"/>
        </x15:connection>
      </ext>
    </extLst>
  </connection>
  <connection id="3" xr16:uid="{7433383C-4CCE-42CA-9653-BF7085216B5F}" name="WorksheetConnection_DATA BASE SUIVI BRANCHEMENTS NEUFS_2.xlsm!Data_Base" type="102" refreshedVersion="8" minRefreshableVersion="5">
    <extLst>
      <ext xmlns:x15="http://schemas.microsoft.com/office/spreadsheetml/2010/11/main" uri="{DE250136-89BD-433C-8126-D09CA5730AF9}">
        <x15:connection id="Data_Base" autoDelete="1">
          <x15:rangePr sourceName="_xlcn.WorksheetConnection_DATABASESUIVIBRANCHEMENTSNEUFS_2.xlsmData_Base"/>
        </x15:connection>
      </ext>
    </extLst>
  </connection>
</connections>
</file>

<file path=xl/sharedStrings.xml><?xml version="1.0" encoding="utf-8"?>
<sst xmlns="http://schemas.openxmlformats.org/spreadsheetml/2006/main" count="4273" uniqueCount="1349">
  <si>
    <t>NOM DU CLIENT</t>
  </si>
  <si>
    <t>MATERIEL MIS A DISPOSITION</t>
  </si>
  <si>
    <t>NEWBELL</t>
  </si>
  <si>
    <t>AKWA</t>
  </si>
  <si>
    <t>TYPE DE COMPTEUR</t>
  </si>
  <si>
    <t>ENTREPRISE</t>
  </si>
  <si>
    <t>P05070313320651</t>
  </si>
  <si>
    <t>P05070313226450</t>
  </si>
  <si>
    <t>WOKSSHI CATHERINE</t>
  </si>
  <si>
    <t>ADOLPHE MOUDIO</t>
  </si>
  <si>
    <t>0179000772808</t>
  </si>
  <si>
    <t>0179000777807</t>
  </si>
  <si>
    <t>P05070313346736</t>
  </si>
  <si>
    <t>ZALI CHRISTOPHE</t>
  </si>
  <si>
    <t>2218107287</t>
  </si>
  <si>
    <t>ACTIVITE CLIENT</t>
  </si>
  <si>
    <t>N° TELEPHONE CLIENT</t>
  </si>
  <si>
    <t>RECOMMANDATIONS</t>
  </si>
  <si>
    <t>AGENCE</t>
  </si>
  <si>
    <t>WR</t>
  </si>
  <si>
    <t>EQUIPE D'INTERVENTIONS</t>
  </si>
  <si>
    <t>MBONGO ELONG</t>
  </si>
  <si>
    <t>EMILE IHINACK NDJOM</t>
  </si>
  <si>
    <t>DEVELOPMENT FINANCE</t>
  </si>
  <si>
    <t>EPSE NTOLLA NTONE</t>
  </si>
  <si>
    <t>YUENGO KWEKAM</t>
  </si>
  <si>
    <t>JEAN GOUFAN A ZOCK</t>
  </si>
  <si>
    <t>SENJO JOSEPH</t>
  </si>
  <si>
    <t>SOCIETE SPL CAMEROUN</t>
  </si>
  <si>
    <t>P05060313383633</t>
  </si>
  <si>
    <t>P05060313383634</t>
  </si>
  <si>
    <t>P05060313383635</t>
  </si>
  <si>
    <t>P08210313417367</t>
  </si>
  <si>
    <t>P08210313417606</t>
  </si>
  <si>
    <t>P05070313422006</t>
  </si>
  <si>
    <t>P05070313418563</t>
  </si>
  <si>
    <t>P05070313407242</t>
  </si>
  <si>
    <t>P05070313421330</t>
  </si>
  <si>
    <t>P05070313414279</t>
  </si>
  <si>
    <t>P05070313414156</t>
  </si>
  <si>
    <t>VIVIANE TCHANA</t>
  </si>
  <si>
    <t>JACQUE GUEFACK</t>
  </si>
  <si>
    <t>ADAMA DJAIMOU</t>
  </si>
  <si>
    <t>JEAN GALLO</t>
  </si>
  <si>
    <t>P05070313420828</t>
  </si>
  <si>
    <t>P05070313422403</t>
  </si>
  <si>
    <t>P05070313418414</t>
  </si>
  <si>
    <t>P05070313420812</t>
  </si>
  <si>
    <t>ALBERT BEYIHA</t>
  </si>
  <si>
    <t>P05060313327386</t>
  </si>
  <si>
    <t>P08210313403703</t>
  </si>
  <si>
    <t>P08210313413538</t>
  </si>
  <si>
    <t>P08210313418605</t>
  </si>
  <si>
    <t>P08210313420260</t>
  </si>
  <si>
    <t>P08210313420256</t>
  </si>
  <si>
    <t>P08210313420253</t>
  </si>
  <si>
    <t>P08210313420255</t>
  </si>
  <si>
    <t>P08210313420262</t>
  </si>
  <si>
    <t>P08210313420263</t>
  </si>
  <si>
    <t>P08210313420258</t>
  </si>
  <si>
    <t>P08210313420259</t>
  </si>
  <si>
    <t>P08210313420261</t>
  </si>
  <si>
    <t>P08210313420257</t>
  </si>
  <si>
    <t>P08210313419556</t>
  </si>
  <si>
    <t>P08210313421930</t>
  </si>
  <si>
    <t>P08210313421313</t>
  </si>
  <si>
    <t>KOUMASSI</t>
  </si>
  <si>
    <t>STATION KOUMASSI CAMTEL</t>
  </si>
  <si>
    <t>PAVEL JOEL ASSONKENG</t>
  </si>
  <si>
    <t>NAZZO PANYERE NDJOM</t>
  </si>
  <si>
    <t>SACKO ADAMA</t>
  </si>
  <si>
    <t>TCHEMKE ROGER JUNIOR</t>
  </si>
  <si>
    <t>PATRICIA NYABEO</t>
  </si>
  <si>
    <t>NDJASSE EPSE TITI RACHEL</t>
  </si>
  <si>
    <t>P08210313273313</t>
  </si>
  <si>
    <t xml:space="preserve">ERNEST BAKOUP </t>
  </si>
  <si>
    <t>P08210313416571</t>
  </si>
  <si>
    <t>E LOUANA ANOUCHKA</t>
  </si>
  <si>
    <t>P08210313416576</t>
  </si>
  <si>
    <t>P08210313416574</t>
  </si>
  <si>
    <t>P08210313416575</t>
  </si>
  <si>
    <t>OLIVIER RICHEPIN</t>
  </si>
  <si>
    <t>P08210313386693</t>
  </si>
  <si>
    <t>P08210313421938</t>
  </si>
  <si>
    <t>MANOUMOU CELINE</t>
  </si>
  <si>
    <t>P08210313329541</t>
  </si>
  <si>
    <t>P05070313376577</t>
  </si>
  <si>
    <t>P08210313250884</t>
  </si>
  <si>
    <t>P05070313283263</t>
  </si>
  <si>
    <t>P08210313263168</t>
  </si>
  <si>
    <t>P08210313347978</t>
  </si>
  <si>
    <t>P08210313357514</t>
  </si>
  <si>
    <t>P08210313255669</t>
  </si>
  <si>
    <t>P08210313264351</t>
  </si>
  <si>
    <t>P08210313276899</t>
  </si>
  <si>
    <t>P05070313348561</t>
  </si>
  <si>
    <t>P08210313276902</t>
  </si>
  <si>
    <t>P08210313386910</t>
  </si>
  <si>
    <t>P05070313350104</t>
  </si>
  <si>
    <t>P05070313351595</t>
  </si>
  <si>
    <t>P05070313354186</t>
  </si>
  <si>
    <t>P05070313267675</t>
  </si>
  <si>
    <t>P08210313276903</t>
  </si>
  <si>
    <t>P08210313276904</t>
  </si>
  <si>
    <t>P08210313265359</t>
  </si>
  <si>
    <t>P08210313255072</t>
  </si>
  <si>
    <t>P08210313252328</t>
  </si>
  <si>
    <t>P08210313251125</t>
  </si>
  <si>
    <t>P08210313263402</t>
  </si>
  <si>
    <t>P08210313355048</t>
  </si>
  <si>
    <t>P08210313276652</t>
  </si>
  <si>
    <t>BIKOKOTA MARINETTE</t>
  </si>
  <si>
    <t>P08210313287456</t>
  </si>
  <si>
    <t>WONDJE MOUDISSA</t>
  </si>
  <si>
    <t>GAFARI NOUENOU</t>
  </si>
  <si>
    <t>LOTTIN RICHARD</t>
  </si>
  <si>
    <t>OKOLO EMMANUEL</t>
  </si>
  <si>
    <t>SIMO AIME MARTIAL</t>
  </si>
  <si>
    <t>PASCAL MOHAMMED</t>
  </si>
  <si>
    <t>SI GLOBAL BUSSINESS</t>
  </si>
  <si>
    <t>EWANE NECTIN</t>
  </si>
  <si>
    <t>MFOUT ASSANA</t>
  </si>
  <si>
    <t xml:space="preserve">THIERRY JUNIOR </t>
  </si>
  <si>
    <t>KAHLUMA NJI</t>
  </si>
  <si>
    <t>OUSMANOU AHMADOU</t>
  </si>
  <si>
    <t>SCI GLOBAL BUSSINESS</t>
  </si>
  <si>
    <t>BERTRAND ZACHARIE</t>
  </si>
  <si>
    <t>SAMUEL BEAUDELAIRE</t>
  </si>
  <si>
    <t>ROGER POLEMA</t>
  </si>
  <si>
    <t>FELICITE ARLETTE</t>
  </si>
  <si>
    <t>SANI TCHUITCHANG</t>
  </si>
  <si>
    <t>PHARMACIE RUE KOLOKO</t>
  </si>
  <si>
    <t>KAMDOM JUDITH</t>
  </si>
  <si>
    <t>JEANNE LONGMIS</t>
  </si>
  <si>
    <t>SUSSAMA MANTAN</t>
  </si>
  <si>
    <t>NATHALIE MANGOLO</t>
  </si>
  <si>
    <t>DJOUFANG FOWE</t>
  </si>
  <si>
    <t>P01300313267194</t>
  </si>
  <si>
    <t>NKONGO BELLE SAMUEL</t>
  </si>
  <si>
    <t>P05070313419548</t>
  </si>
  <si>
    <t>37272548183</t>
  </si>
  <si>
    <t>INHEMETER</t>
  </si>
  <si>
    <t>HABITATION</t>
  </si>
  <si>
    <t>697423979</t>
  </si>
  <si>
    <t>37272635501</t>
  </si>
  <si>
    <t>37272635436</t>
  </si>
  <si>
    <t>37272635188</t>
  </si>
  <si>
    <t>37272519655</t>
  </si>
  <si>
    <t>37272519341</t>
  </si>
  <si>
    <t>37272675077</t>
  </si>
  <si>
    <t>37272674997</t>
  </si>
  <si>
    <t>37272675424</t>
  </si>
  <si>
    <t>37272519705</t>
  </si>
  <si>
    <t>37272548373</t>
  </si>
  <si>
    <t>37272548563</t>
  </si>
  <si>
    <t>37272548365</t>
  </si>
  <si>
    <t>37272548456</t>
  </si>
  <si>
    <t>37272675069</t>
  </si>
  <si>
    <t>37272519549</t>
  </si>
  <si>
    <t>OKWARA PRINCE</t>
  </si>
  <si>
    <t>EUROPE AFRIQUE</t>
  </si>
  <si>
    <t>EWANE</t>
  </si>
  <si>
    <t>MARIE MADELEINE WENDJI</t>
  </si>
  <si>
    <t>P05070313424896</t>
  </si>
  <si>
    <t>SATTECH</t>
  </si>
  <si>
    <t>DOUFANG</t>
  </si>
  <si>
    <t>FATOU MOHAMA</t>
  </si>
  <si>
    <t>P05070313397337</t>
  </si>
  <si>
    <t>37272519366</t>
  </si>
  <si>
    <t>694088330</t>
  </si>
  <si>
    <t>SAMAGA</t>
  </si>
  <si>
    <t>P05070313394318</t>
  </si>
  <si>
    <t>37272545494</t>
  </si>
  <si>
    <t>694773874</t>
  </si>
  <si>
    <t>NGAAJE ETAKE DIVINE</t>
  </si>
  <si>
    <t>P05060313422351</t>
  </si>
  <si>
    <t>37272674948</t>
  </si>
  <si>
    <t>MOUNGUI</t>
  </si>
  <si>
    <t>TCHOUNGOUANG APPOLIN</t>
  </si>
  <si>
    <t>P08210313298003</t>
  </si>
  <si>
    <t>37272674856</t>
  </si>
  <si>
    <t>699058140</t>
  </si>
  <si>
    <t xml:space="preserve">WANG YONGMING </t>
  </si>
  <si>
    <t>P05060313390587</t>
  </si>
  <si>
    <t>37272674625</t>
  </si>
  <si>
    <t>MAGASIN</t>
  </si>
  <si>
    <t>697599999</t>
  </si>
  <si>
    <t>P05060313405070</t>
  </si>
  <si>
    <t>37272674831</t>
  </si>
  <si>
    <t>699876241</t>
  </si>
  <si>
    <t xml:space="preserve">FUH ERIC MAI </t>
  </si>
  <si>
    <t>P05070313404893</t>
  </si>
  <si>
    <t>37272519333</t>
  </si>
  <si>
    <t>693953219</t>
  </si>
  <si>
    <t>TIAMGOU KAMENI MARC</t>
  </si>
  <si>
    <t>P05070312615821</t>
  </si>
  <si>
    <t>22999454</t>
  </si>
  <si>
    <t>MAGOO ROSINE</t>
  </si>
  <si>
    <t>P08210313314079</t>
  </si>
  <si>
    <t>37272626625</t>
  </si>
  <si>
    <t>BOUTIQUE</t>
  </si>
  <si>
    <t>678423899</t>
  </si>
  <si>
    <t>INOUA MAHAMA</t>
  </si>
  <si>
    <t>P05070313422205</t>
  </si>
  <si>
    <t>37272626617</t>
  </si>
  <si>
    <t>699902228</t>
  </si>
  <si>
    <t>ELANKE ELANKE</t>
  </si>
  <si>
    <t>P05070313393379</t>
  </si>
  <si>
    <t>675386403</t>
  </si>
  <si>
    <t>NTAMACK NTAMACK</t>
  </si>
  <si>
    <t>P05070313413710</t>
  </si>
  <si>
    <t>37272519358</t>
  </si>
  <si>
    <t>693128570</t>
  </si>
  <si>
    <t>FOSSO SIMO ROSE CLAIRE</t>
  </si>
  <si>
    <t>P05070313370056</t>
  </si>
  <si>
    <t>37272545395</t>
  </si>
  <si>
    <t>655932500</t>
  </si>
  <si>
    <t>DJOMALIEU TCHOKOUAHA</t>
  </si>
  <si>
    <t>P05070313420451</t>
  </si>
  <si>
    <t>37272674690</t>
  </si>
  <si>
    <t>651286739</t>
  </si>
  <si>
    <t>ZE BIDJA</t>
  </si>
  <si>
    <t>650553910</t>
  </si>
  <si>
    <t>699831206</t>
  </si>
  <si>
    <t>699907027</t>
  </si>
  <si>
    <t>699963444</t>
  </si>
  <si>
    <t>37272520208</t>
  </si>
  <si>
    <t>655532645</t>
  </si>
  <si>
    <t>37272519499</t>
  </si>
  <si>
    <t>655854285</t>
  </si>
  <si>
    <t>37272520216</t>
  </si>
  <si>
    <t>696860183</t>
  </si>
  <si>
    <t>NKANGHAMI ERIC</t>
  </si>
  <si>
    <t>P05060313425758</t>
  </si>
  <si>
    <t>37272519788</t>
  </si>
  <si>
    <t>677963134</t>
  </si>
  <si>
    <t xml:space="preserve">MOHAMMED IDRISU </t>
  </si>
  <si>
    <t>P05060313425125</t>
  </si>
  <si>
    <t>DUNSUN</t>
  </si>
  <si>
    <t>674084189</t>
  </si>
  <si>
    <t>P05060313419888</t>
  </si>
  <si>
    <t>37272518855</t>
  </si>
  <si>
    <t>695842704</t>
  </si>
  <si>
    <t>P05060313425718</t>
  </si>
  <si>
    <t>PIERRE ETIENNE NGADJUI</t>
  </si>
  <si>
    <t>FONKA BELKINSU</t>
  </si>
  <si>
    <t>P05070313420406</t>
  </si>
  <si>
    <t>MALIKI YAYA</t>
  </si>
  <si>
    <t>P05070313414985</t>
  </si>
  <si>
    <t>ANDRE YVES</t>
  </si>
  <si>
    <t>P05070313422276</t>
  </si>
  <si>
    <t>BENJAMIN JAMENI</t>
  </si>
  <si>
    <t>P05070313375859</t>
  </si>
  <si>
    <t>EMMANUEL KODEM</t>
  </si>
  <si>
    <t>P05070313421532</t>
  </si>
  <si>
    <t>P05070313421533</t>
  </si>
  <si>
    <t>P05070313421530</t>
  </si>
  <si>
    <t>P05070313421531</t>
  </si>
  <si>
    <t>P05070313421529</t>
  </si>
  <si>
    <t>P05070313421528</t>
  </si>
  <si>
    <t>SARL SARL</t>
  </si>
  <si>
    <t>P05070313422944</t>
  </si>
  <si>
    <t>SALE DJIBRILA</t>
  </si>
  <si>
    <t>P05070313420116</t>
  </si>
  <si>
    <t>FIGUI FIGUI</t>
  </si>
  <si>
    <t>P05070313423843</t>
  </si>
  <si>
    <t>LUCINDA KARISMA</t>
  </si>
  <si>
    <t>P05070313414726</t>
  </si>
  <si>
    <t>YOUSSOUFA SOULEYMANE</t>
  </si>
  <si>
    <t>P05070313423052</t>
  </si>
  <si>
    <t>FOULEFACK CLEMENTINE</t>
  </si>
  <si>
    <t>P05070313420793</t>
  </si>
  <si>
    <t>DANIEL OFOKA</t>
  </si>
  <si>
    <t>P05070313424013</t>
  </si>
  <si>
    <t>JOSIAH MIREILLE NGO</t>
  </si>
  <si>
    <t>P05070313424533</t>
  </si>
  <si>
    <t>P05070313424532</t>
  </si>
  <si>
    <t>PAULINE AGUEYA</t>
  </si>
  <si>
    <t>P05070313421986</t>
  </si>
  <si>
    <t>P05070313414108</t>
  </si>
  <si>
    <t>37272674641</t>
  </si>
  <si>
    <t>696211981</t>
  </si>
  <si>
    <t>37272674823</t>
  </si>
  <si>
    <t>695830106</t>
  </si>
  <si>
    <t>37272674146</t>
  </si>
  <si>
    <t>691697132</t>
  </si>
  <si>
    <t>TAQUER DJEUMO NANA</t>
  </si>
  <si>
    <t>P05070313297419</t>
  </si>
  <si>
    <t>SOCIETE DE MANUTENTION</t>
  </si>
  <si>
    <t>P08210313375221</t>
  </si>
  <si>
    <t>ITRON</t>
  </si>
  <si>
    <t>SOCIETE</t>
  </si>
  <si>
    <t>699707970</t>
  </si>
  <si>
    <t>EGBEKWO KALU ASI</t>
  </si>
  <si>
    <t>P05070313407341</t>
  </si>
  <si>
    <t>P05070313407332</t>
  </si>
  <si>
    <t>P05070313407331</t>
  </si>
  <si>
    <t>DIEUSSEU DONALD</t>
  </si>
  <si>
    <t>P08320313404818</t>
  </si>
  <si>
    <t>37272519556</t>
  </si>
  <si>
    <t>697080785</t>
  </si>
  <si>
    <t>37272653207</t>
  </si>
  <si>
    <t>697990086</t>
  </si>
  <si>
    <t>37272519895</t>
  </si>
  <si>
    <t>670692680</t>
  </si>
  <si>
    <t>37272519853</t>
  </si>
  <si>
    <t>695904089</t>
  </si>
  <si>
    <t>MPESSA  EKOLE CLAUDETTE</t>
  </si>
  <si>
    <t>P05060313423121</t>
  </si>
  <si>
    <t>37272520182</t>
  </si>
  <si>
    <t>694012637</t>
  </si>
  <si>
    <t>0179000761066</t>
  </si>
  <si>
    <t>691489899</t>
  </si>
  <si>
    <t>37272675200</t>
  </si>
  <si>
    <t>697671745</t>
  </si>
  <si>
    <t>P05060313425459</t>
  </si>
  <si>
    <t>37272675176</t>
  </si>
  <si>
    <t>697397925</t>
  </si>
  <si>
    <t>MBOSSI NKONDA SEVERINE</t>
  </si>
  <si>
    <t>37272519473</t>
  </si>
  <si>
    <t>694268289</t>
  </si>
  <si>
    <t>37272675192</t>
  </si>
  <si>
    <t>695794437</t>
  </si>
  <si>
    <t>37272675226</t>
  </si>
  <si>
    <t>682058821</t>
  </si>
  <si>
    <t>MFOUAPON</t>
  </si>
  <si>
    <t>37272519648</t>
  </si>
  <si>
    <t>699835460</t>
  </si>
  <si>
    <t>KOM</t>
  </si>
  <si>
    <t>0179000753063</t>
  </si>
  <si>
    <t>694163948</t>
  </si>
  <si>
    <t>P05070313422206</t>
  </si>
  <si>
    <t>37272519572</t>
  </si>
  <si>
    <t>KAMDOM FRANCOIS</t>
  </si>
  <si>
    <t>P05070313406386</t>
  </si>
  <si>
    <t>0179000776189</t>
  </si>
  <si>
    <t>676650332</t>
  </si>
  <si>
    <t>P05060313422350</t>
  </si>
  <si>
    <t>37272519739</t>
  </si>
  <si>
    <t>695115978</t>
  </si>
  <si>
    <t>OUMAR MAHAMAT</t>
  </si>
  <si>
    <t>P05070313419411</t>
  </si>
  <si>
    <t>23019136</t>
  </si>
  <si>
    <t>697979088</t>
  </si>
  <si>
    <t>YOUMCHAKOU</t>
  </si>
  <si>
    <t>ROMEO DOUMTSOP</t>
  </si>
  <si>
    <t>P05070313419467</t>
  </si>
  <si>
    <t>23019138</t>
  </si>
  <si>
    <t>699665817</t>
  </si>
  <si>
    <t>LA GRANDE MOSQUE</t>
  </si>
  <si>
    <t>P05070313420294</t>
  </si>
  <si>
    <t>2219002744</t>
  </si>
  <si>
    <t>694724039</t>
  </si>
  <si>
    <t>37272653405</t>
  </si>
  <si>
    <t>37272653488</t>
  </si>
  <si>
    <t>696234689</t>
  </si>
  <si>
    <t>37272674260</t>
  </si>
  <si>
    <t>697197118</t>
  </si>
  <si>
    <t>37272653496</t>
  </si>
  <si>
    <t>675652098</t>
  </si>
  <si>
    <t>37272653512</t>
  </si>
  <si>
    <t>680808524</t>
  </si>
  <si>
    <t>37272519515</t>
  </si>
  <si>
    <t>699466615</t>
  </si>
  <si>
    <t>37272519994</t>
  </si>
  <si>
    <t>37272520075</t>
  </si>
  <si>
    <t>ARROYE BETOU FABRICE</t>
  </si>
  <si>
    <t>P08210313424068</t>
  </si>
  <si>
    <t>0179000753014</t>
  </si>
  <si>
    <t>696815784</t>
  </si>
  <si>
    <t>TAKOTUE FOTSO INNOCENT</t>
  </si>
  <si>
    <t>P08210313410974</t>
  </si>
  <si>
    <t>37272520141</t>
  </si>
  <si>
    <t>696013536</t>
  </si>
  <si>
    <t>SOCIETE MADIANA MOTOR</t>
  </si>
  <si>
    <t>P08210313412811</t>
  </si>
  <si>
    <t>37272530058</t>
  </si>
  <si>
    <t>675711448</t>
  </si>
  <si>
    <t>NOAH DEUMENI RUSSELS</t>
  </si>
  <si>
    <t>P05070313347189</t>
  </si>
  <si>
    <t>37272519630</t>
  </si>
  <si>
    <t>698417340</t>
  </si>
  <si>
    <t>SERGE ESSOUKAN</t>
  </si>
  <si>
    <t>P05060313418725</t>
  </si>
  <si>
    <t>37272675093</t>
  </si>
  <si>
    <t>694945697</t>
  </si>
  <si>
    <t>22190144442</t>
  </si>
  <si>
    <t>699647064</t>
  </si>
  <si>
    <t>2219007480</t>
  </si>
  <si>
    <t>HEXING</t>
  </si>
  <si>
    <t>37272635758</t>
  </si>
  <si>
    <t>698918390</t>
  </si>
  <si>
    <t>37272675457</t>
  </si>
  <si>
    <t>P08210313410972</t>
  </si>
  <si>
    <t>37272520117</t>
  </si>
  <si>
    <t>OLISA EMEKA ONUDUAGU</t>
  </si>
  <si>
    <t>P05070313328675</t>
  </si>
  <si>
    <t>37272635733</t>
  </si>
  <si>
    <t>673228878</t>
  </si>
  <si>
    <t>TCHAMAGNI NATHALIE</t>
  </si>
  <si>
    <t>P08210313130948</t>
  </si>
  <si>
    <t>23018890</t>
  </si>
  <si>
    <t>674905561</t>
  </si>
  <si>
    <t>KAMGA EPOUSE NDJAMBA</t>
  </si>
  <si>
    <t>P08210313419389</t>
  </si>
  <si>
    <t>ESTHER MBOUOPDA</t>
  </si>
  <si>
    <t>P08210313409860</t>
  </si>
  <si>
    <t>P08210313409864</t>
  </si>
  <si>
    <t>P08210313409863</t>
  </si>
  <si>
    <t>P08210313409861</t>
  </si>
  <si>
    <t>P08210313409862</t>
  </si>
  <si>
    <t>KIMKAM ANGELINE</t>
  </si>
  <si>
    <t>P08210313410949</t>
  </si>
  <si>
    <t>P08210313402611</t>
  </si>
  <si>
    <t>P08210313410950</t>
  </si>
  <si>
    <t>HALIMATOU EPSE OUMAROU</t>
  </si>
  <si>
    <t>P08210313413242</t>
  </si>
  <si>
    <t>LIBERT NKONTCHOU SIMO</t>
  </si>
  <si>
    <t>P08210313416444</t>
  </si>
  <si>
    <t>HAPPI JEAN CLAUDE</t>
  </si>
  <si>
    <t>P08210313398776</t>
  </si>
  <si>
    <t>P08210313419390</t>
  </si>
  <si>
    <t xml:space="preserve">BABA ZAWE PIERRE </t>
  </si>
  <si>
    <t>P05070313413878</t>
  </si>
  <si>
    <t>LEUMFO KWAYEEP CHARLES</t>
  </si>
  <si>
    <t>P05070313422255</t>
  </si>
  <si>
    <t>LOIC CABREL GAPIN</t>
  </si>
  <si>
    <t>P05070313422903</t>
  </si>
  <si>
    <t>MICHAEL AGU DABA</t>
  </si>
  <si>
    <t>P05070313403783</t>
  </si>
  <si>
    <t>DOURWE GONOBELE BLAISE</t>
  </si>
  <si>
    <t>P05070313418727</t>
  </si>
  <si>
    <t>P05070313423854</t>
  </si>
  <si>
    <t>P05070313421448</t>
  </si>
  <si>
    <t>NTAMMO KAMGANG TECLAIRE</t>
  </si>
  <si>
    <t>P05070313424773</t>
  </si>
  <si>
    <t>P05070313421447</t>
  </si>
  <si>
    <t>BONGBELLI JULLIET</t>
  </si>
  <si>
    <t>P05070313412719</t>
  </si>
  <si>
    <t>ODEKE CHINEDU FIDELIS</t>
  </si>
  <si>
    <t>NGOWONA MARCELLE</t>
  </si>
  <si>
    <t>P05070313426702</t>
  </si>
  <si>
    <t>MEFOUGOU SIDONIE</t>
  </si>
  <si>
    <t>P05070313417155</t>
  </si>
  <si>
    <t xml:space="preserve">EGRE SIMON </t>
  </si>
  <si>
    <t>P05070313426388</t>
  </si>
  <si>
    <t>MINYOG CARINE</t>
  </si>
  <si>
    <t>P05070313393162</t>
  </si>
  <si>
    <t>SOUGODO AMOUASSOU JAMES</t>
  </si>
  <si>
    <t>P05070313423618</t>
  </si>
  <si>
    <t xml:space="preserve">KAWA TOM </t>
  </si>
  <si>
    <t>P05070313424898</t>
  </si>
  <si>
    <t>SARDAOUINA AHMADOU</t>
  </si>
  <si>
    <t>P05070313423991</t>
  </si>
  <si>
    <t>MOUKARAMOU SOULE</t>
  </si>
  <si>
    <t>P05070313426121</t>
  </si>
  <si>
    <t>P05070313426262</t>
  </si>
  <si>
    <t>P05070313426261</t>
  </si>
  <si>
    <t>EBOSSE MAURICE</t>
  </si>
  <si>
    <t>P05070313418578</t>
  </si>
  <si>
    <t>DIDIE SONKOUE</t>
  </si>
  <si>
    <t>P05060313429555</t>
  </si>
  <si>
    <t>MENENGU NTUI MARY</t>
  </si>
  <si>
    <t>P05060313389964</t>
  </si>
  <si>
    <t>WANG JIANMIN</t>
  </si>
  <si>
    <t>P05060313425238</t>
  </si>
  <si>
    <t>P05060313425239</t>
  </si>
  <si>
    <t>P05060313425240</t>
  </si>
  <si>
    <t>P05060313425243</t>
  </si>
  <si>
    <t>P05060313425244</t>
  </si>
  <si>
    <t>P05060313425246</t>
  </si>
  <si>
    <t>P05060313425241</t>
  </si>
  <si>
    <t>P05060313425242</t>
  </si>
  <si>
    <t>P05060313425245</t>
  </si>
  <si>
    <t xml:space="preserve">KON IRENE </t>
  </si>
  <si>
    <t>P05060313426370</t>
  </si>
  <si>
    <t>TRIYAH SWEBU LEBOH</t>
  </si>
  <si>
    <t>P05070313425193</t>
  </si>
  <si>
    <t>P05070313425194</t>
  </si>
  <si>
    <t>NYISIKI NFONDU PRISCA</t>
  </si>
  <si>
    <t>P05070313269735</t>
  </si>
  <si>
    <t xml:space="preserve">BWELLE NGANGUE </t>
  </si>
  <si>
    <t>P05070313378734</t>
  </si>
  <si>
    <t>JACQUET MEIDO</t>
  </si>
  <si>
    <t>P05070313427231</t>
  </si>
  <si>
    <t>DJIBRIL ABDOULAI</t>
  </si>
  <si>
    <t>P05070313427033</t>
  </si>
  <si>
    <t>TOUKAP BEKAP NICOLE</t>
  </si>
  <si>
    <t>P05070313426376</t>
  </si>
  <si>
    <t>MAGUIEZE PEGNO NZONDAP</t>
  </si>
  <si>
    <t>P05070313428315</t>
  </si>
  <si>
    <t>TCHANKOU TCHEHO WILLY</t>
  </si>
  <si>
    <t>P05070313426181</t>
  </si>
  <si>
    <t>P05070313426182</t>
  </si>
  <si>
    <t xml:space="preserve">HECHEKED FRANKI </t>
  </si>
  <si>
    <t>P05070313427430</t>
  </si>
  <si>
    <t xml:space="preserve">NJOYA IBRAHIM </t>
  </si>
  <si>
    <t>P05070313426399</t>
  </si>
  <si>
    <t>P05070313426397</t>
  </si>
  <si>
    <t>LOMBI CATHERINE</t>
  </si>
  <si>
    <t>P05070313427789</t>
  </si>
  <si>
    <t>TIMBINE ALDJOUMA</t>
  </si>
  <si>
    <t>P05070313222862</t>
  </si>
  <si>
    <t>ANIAGBA PAUL</t>
  </si>
  <si>
    <t>P08210312829258</t>
  </si>
  <si>
    <t>SCI GLOBAL BUSINESS</t>
  </si>
  <si>
    <t>P08210313276900</t>
  </si>
  <si>
    <t>P08210313276901</t>
  </si>
  <si>
    <t xml:space="preserve">NKONGUE NSANGUE </t>
  </si>
  <si>
    <t>P05060313249288</t>
  </si>
  <si>
    <t xml:space="preserve">DEFFEU BRUNO </t>
  </si>
  <si>
    <t>P05060313429060</t>
  </si>
  <si>
    <t>ABDOUL AZIZ</t>
  </si>
  <si>
    <t>P05060313428738</t>
  </si>
  <si>
    <t xml:space="preserve">RF ALL IN BY </t>
  </si>
  <si>
    <t>P05060313417945</t>
  </si>
  <si>
    <t>F T TRADING COMPANY</t>
  </si>
  <si>
    <t>P05060313429114</t>
  </si>
  <si>
    <t>37272548134</t>
  </si>
  <si>
    <t>697311298</t>
  </si>
  <si>
    <t>37272548423</t>
  </si>
  <si>
    <t>690045470</t>
  </si>
  <si>
    <t>37272519507</t>
  </si>
  <si>
    <t>692277087</t>
  </si>
  <si>
    <t>Mois</t>
  </si>
  <si>
    <t>Jours</t>
  </si>
  <si>
    <t>Année</t>
  </si>
  <si>
    <t>Journée</t>
  </si>
  <si>
    <t>Instances</t>
  </si>
  <si>
    <t>Récapitulatifs</t>
  </si>
  <si>
    <t>jeudi</t>
  </si>
  <si>
    <t>lundi</t>
  </si>
  <si>
    <t>mardi</t>
  </si>
  <si>
    <t>mercredi</t>
  </si>
  <si>
    <t>vendredi</t>
  </si>
  <si>
    <t>DATE RECEPTION</t>
  </si>
  <si>
    <t>CHEF EQUIPE</t>
  </si>
  <si>
    <t>DATE DE SORTIE MATERIEL</t>
  </si>
  <si>
    <t xml:space="preserve">N° COMPTEUR SORTI </t>
  </si>
  <si>
    <t xml:space="preserve">DATE DES TRAVAUX </t>
  </si>
  <si>
    <t>COMPTEUR POSE SUR LE TERRAIN</t>
  </si>
  <si>
    <t>CALIBRE DISJONCTEUR(A)</t>
  </si>
  <si>
    <t>INDEX DE POSE</t>
  </si>
  <si>
    <t>RESULTAT DES TRAVAUX</t>
  </si>
  <si>
    <t>STATUT CMS</t>
  </si>
  <si>
    <t>OBSERVATIONS</t>
  </si>
  <si>
    <t>COMPTEUR</t>
  </si>
  <si>
    <t>POSE SUR LE TERRAIN</t>
  </si>
  <si>
    <t>PRIS EN CHARGE</t>
  </si>
  <si>
    <t>OK</t>
  </si>
  <si>
    <t>RAS</t>
  </si>
  <si>
    <t>37272675549</t>
  </si>
  <si>
    <t>37272675390</t>
  </si>
  <si>
    <t>694475754</t>
  </si>
  <si>
    <t>18120224</t>
  </si>
  <si>
    <t>696812261</t>
  </si>
  <si>
    <t>YOUMCHAKOU/ADJIM</t>
  </si>
  <si>
    <t>18120814</t>
  </si>
  <si>
    <t>0179000773384</t>
  </si>
  <si>
    <t>DONSUN</t>
  </si>
  <si>
    <t>0179000743825</t>
  </si>
  <si>
    <t>P05070313414157</t>
  </si>
  <si>
    <t>0179000749897</t>
  </si>
  <si>
    <t>P05070313414135</t>
  </si>
  <si>
    <t>651328847</t>
  </si>
  <si>
    <t>18120506</t>
  </si>
  <si>
    <t>699144899</t>
  </si>
  <si>
    <t>DJOYIM</t>
  </si>
  <si>
    <t>37272653074</t>
  </si>
  <si>
    <t>C0MPTEUR</t>
  </si>
  <si>
    <t>3727263124</t>
  </si>
  <si>
    <t>37272653124</t>
  </si>
  <si>
    <t>37272653090</t>
  </si>
  <si>
    <t>DJOYIM/MOUNGUI</t>
  </si>
  <si>
    <t>699522072</t>
  </si>
  <si>
    <t>CLIENT INDISPONIBLE</t>
  </si>
  <si>
    <t>697346608</t>
  </si>
  <si>
    <t>18120469</t>
  </si>
  <si>
    <t>694237210</t>
  </si>
  <si>
    <t>MFOUAPON/MOUSSA</t>
  </si>
  <si>
    <t>18120731</t>
  </si>
  <si>
    <t>0263008449815</t>
  </si>
  <si>
    <t>GYNTAI</t>
  </si>
  <si>
    <t>KAMISSOKO MOUSSA</t>
  </si>
  <si>
    <t>676577905</t>
  </si>
  <si>
    <t xml:space="preserve">EUROPE AFRIQUE </t>
  </si>
  <si>
    <t>EWANE/EDIMO</t>
  </si>
  <si>
    <t>0263008479960</t>
  </si>
  <si>
    <t>0263008479952</t>
  </si>
  <si>
    <t>0263008479945</t>
  </si>
  <si>
    <t>P05070313422182</t>
  </si>
  <si>
    <t>655068319</t>
  </si>
  <si>
    <t>0263008505087</t>
  </si>
  <si>
    <t>674405989</t>
  </si>
  <si>
    <t>0263008479978</t>
  </si>
  <si>
    <t>0263008479937</t>
  </si>
  <si>
    <t>691700425</t>
  </si>
  <si>
    <t>37272635709</t>
  </si>
  <si>
    <t>0179000761884</t>
  </si>
  <si>
    <t>DUNSON</t>
  </si>
  <si>
    <t>677374646</t>
  </si>
  <si>
    <t>0263008479994</t>
  </si>
  <si>
    <t>0263008480000</t>
  </si>
  <si>
    <t>699815147</t>
  </si>
  <si>
    <t>0263008449948</t>
  </si>
  <si>
    <t>699016888</t>
  </si>
  <si>
    <t>0263008452587</t>
  </si>
  <si>
    <t>0263008451944</t>
  </si>
  <si>
    <t>696309253</t>
  </si>
  <si>
    <t>37272635725</t>
  </si>
  <si>
    <t>NECESSITE UN POTEAU</t>
  </si>
  <si>
    <t>696210506</t>
  </si>
  <si>
    <t>37272548274</t>
  </si>
  <si>
    <t>BODION EPOPA SANDRINE</t>
  </si>
  <si>
    <t>P05070313378736</t>
  </si>
  <si>
    <t>656162573</t>
  </si>
  <si>
    <t>BUREAUX</t>
  </si>
  <si>
    <t>673104134</t>
  </si>
  <si>
    <t>2218115271</t>
  </si>
  <si>
    <t>KINGUE EBENDE CHANTAL</t>
  </si>
  <si>
    <t>P05070313372530</t>
  </si>
  <si>
    <t>LAURENCE HELENE JACKY</t>
  </si>
  <si>
    <t>P05070313402802</t>
  </si>
  <si>
    <t>CHRISTIAN UGWU</t>
  </si>
  <si>
    <t>P05070313328710</t>
  </si>
  <si>
    <t>JEAN JEHOVANY</t>
  </si>
  <si>
    <t>P05060313418778</t>
  </si>
  <si>
    <t>THOMAS BILLE SAME</t>
  </si>
  <si>
    <t>P05060313428822</t>
  </si>
  <si>
    <t>NIL HIE GABRIEL ISAAC</t>
  </si>
  <si>
    <t>P05070313426728</t>
  </si>
  <si>
    <t>696108064</t>
  </si>
  <si>
    <t>WAMBO EPSE HOPPO</t>
  </si>
  <si>
    <t>P05070313410712</t>
  </si>
  <si>
    <t>COSMAS UZODIMMA</t>
  </si>
  <si>
    <t>P05070313427208</t>
  </si>
  <si>
    <t>37272801780</t>
  </si>
  <si>
    <t>UCHENNA UDUEZE</t>
  </si>
  <si>
    <t>P05070313428746</t>
  </si>
  <si>
    <t>BEBITEYE EPSE NOETZEL</t>
  </si>
  <si>
    <t>P05070313417118</t>
  </si>
  <si>
    <t>699988673</t>
  </si>
  <si>
    <t>026300842645</t>
  </si>
  <si>
    <t>P05070313417121</t>
  </si>
  <si>
    <t>026300842603</t>
  </si>
  <si>
    <t>P05070313417120</t>
  </si>
  <si>
    <t>026300842637</t>
  </si>
  <si>
    <t>P05070313426727</t>
  </si>
  <si>
    <t xml:space="preserve">DJIEUOWE BATIPE </t>
  </si>
  <si>
    <t>P05070313425110</t>
  </si>
  <si>
    <t>PEMHA BILONG FRANCK</t>
  </si>
  <si>
    <t>P05070313424739</t>
  </si>
  <si>
    <t>694825901</t>
  </si>
  <si>
    <t>0263008452579</t>
  </si>
  <si>
    <t>P05070313424740</t>
  </si>
  <si>
    <t>0263008452629</t>
  </si>
  <si>
    <t>P05070313424741</t>
  </si>
  <si>
    <t>0263008452611</t>
  </si>
  <si>
    <t>MVOGUO MBIDA RENE</t>
  </si>
  <si>
    <t>P05070313429959</t>
  </si>
  <si>
    <t>KAMGAING PAJO</t>
  </si>
  <si>
    <t>P05070313430677</t>
  </si>
  <si>
    <t>MOUSSA TAHIROU</t>
  </si>
  <si>
    <t>P05070313424902</t>
  </si>
  <si>
    <t>BARASOUA DAVID</t>
  </si>
  <si>
    <t>P05070313423587</t>
  </si>
  <si>
    <t>ABDOULAYE WADJIRI</t>
  </si>
  <si>
    <t>P05070313429261</t>
  </si>
  <si>
    <t>699833326</t>
  </si>
  <si>
    <t>37272675382</t>
  </si>
  <si>
    <t>P05070313429260</t>
  </si>
  <si>
    <t>37272675267</t>
  </si>
  <si>
    <t>ABDOU RAHAMAN</t>
  </si>
  <si>
    <t>P05070313424904</t>
  </si>
  <si>
    <t>MOHMKONG ABDU RAMAN</t>
  </si>
  <si>
    <t>P05070313429915</t>
  </si>
  <si>
    <t>PROMISE DABERE IFEMEJE</t>
  </si>
  <si>
    <t>P05070313428333</t>
  </si>
  <si>
    <t>FRIEDE MYRIAM</t>
  </si>
  <si>
    <t>P08210313268054</t>
  </si>
  <si>
    <t>699869788</t>
  </si>
  <si>
    <t>MBANGO EPOUSE DJITIA</t>
  </si>
  <si>
    <t>P05060313416460</t>
  </si>
  <si>
    <t>696870642</t>
  </si>
  <si>
    <t>37272548258</t>
  </si>
  <si>
    <t>TCHOMGOUO FRANCOIS</t>
  </si>
  <si>
    <t>P05060313425159</t>
  </si>
  <si>
    <t>677730624</t>
  </si>
  <si>
    <t>37272652886</t>
  </si>
  <si>
    <t>SIGNE MOTEGNE HERVE</t>
  </si>
  <si>
    <t>P05070313425951</t>
  </si>
  <si>
    <t>699983263</t>
  </si>
  <si>
    <t>37272675853</t>
  </si>
  <si>
    <t>MOUANSIE MOHAMED</t>
  </si>
  <si>
    <t>P05060313428251</t>
  </si>
  <si>
    <t>694204596</t>
  </si>
  <si>
    <t>37272675317</t>
  </si>
  <si>
    <t>HEAVY DUTY ENGINEERING</t>
  </si>
  <si>
    <t>E05070313428505</t>
  </si>
  <si>
    <t>CHANTIER</t>
  </si>
  <si>
    <t>675750230</t>
  </si>
  <si>
    <t>0179000750341</t>
  </si>
  <si>
    <t>0179000755041</t>
  </si>
  <si>
    <t>KONWA KONWA RUSSEL</t>
  </si>
  <si>
    <t>P05070313410820</t>
  </si>
  <si>
    <t>698295569</t>
  </si>
  <si>
    <t>37272652910</t>
  </si>
  <si>
    <t>MADENGUE ABEL</t>
  </si>
  <si>
    <t>P05070313402405</t>
  </si>
  <si>
    <t>698707143</t>
  </si>
  <si>
    <t>37272652829</t>
  </si>
  <si>
    <t>ACHU ATANGA</t>
  </si>
  <si>
    <t>P05060313407268</t>
  </si>
  <si>
    <t>BUREAU</t>
  </si>
  <si>
    <t>690077464</t>
  </si>
  <si>
    <t>37272652852</t>
  </si>
  <si>
    <t>NADZO PAMYERE ALEXIS</t>
  </si>
  <si>
    <t>P08210313426733</t>
  </si>
  <si>
    <t>37272519424</t>
  </si>
  <si>
    <t>P08210313416573</t>
  </si>
  <si>
    <t>37272675051</t>
  </si>
  <si>
    <t>CAMTEL BALI</t>
  </si>
  <si>
    <t>P08210312910074</t>
  </si>
  <si>
    <t>ANTENNE BALI</t>
  </si>
  <si>
    <t>1030700433357</t>
  </si>
  <si>
    <t>SAGEM</t>
  </si>
  <si>
    <t>FEH HENRI BAABOH</t>
  </si>
  <si>
    <t>P08210313430597</t>
  </si>
  <si>
    <t>BIKAI NGWE STEPHANIE</t>
  </si>
  <si>
    <t>P08210313426831</t>
  </si>
  <si>
    <t>MADI ALI</t>
  </si>
  <si>
    <t>P08210313422915</t>
  </si>
  <si>
    <t>699339392</t>
  </si>
  <si>
    <t>NANTIA ROMEO</t>
  </si>
  <si>
    <t>P08210313426622</t>
  </si>
  <si>
    <t>(PAD)PORT AUTONOME</t>
  </si>
  <si>
    <t>P08210313421210</t>
  </si>
  <si>
    <t>P08210313421195</t>
  </si>
  <si>
    <t>P08210313421178</t>
  </si>
  <si>
    <t>JOSEPH OSCAR France</t>
  </si>
  <si>
    <t>P08210313423010</t>
  </si>
  <si>
    <t>NSEKE ROGER</t>
  </si>
  <si>
    <t>P08210313426090</t>
  </si>
  <si>
    <t>EYOKE VICTOIRE ANNE</t>
  </si>
  <si>
    <t>P08210313425508</t>
  </si>
  <si>
    <t>DJAMNOU ROBERT</t>
  </si>
  <si>
    <t>P08210313424243</t>
  </si>
  <si>
    <t>677027631</t>
  </si>
  <si>
    <t>2219014850</t>
  </si>
  <si>
    <t>HUANG QIANG</t>
  </si>
  <si>
    <t>P08210313428983</t>
  </si>
  <si>
    <t>MAGNEROU NJANKOU</t>
  </si>
  <si>
    <t>P08210313419801</t>
  </si>
  <si>
    <t>ARTIVO CAMEROUN SARL</t>
  </si>
  <si>
    <t>P08210313417852</t>
  </si>
  <si>
    <t>LJ CO SARL</t>
  </si>
  <si>
    <t>P08210313407784</t>
  </si>
  <si>
    <t>698367575</t>
  </si>
  <si>
    <t>37272519440</t>
  </si>
  <si>
    <t>LEWAT BERNADETTE TIANI</t>
  </si>
  <si>
    <t>P05060313424828</t>
  </si>
  <si>
    <t>699646416</t>
  </si>
  <si>
    <t>P05060313424829</t>
  </si>
  <si>
    <t>NGANDO BEBEY JOSEPH</t>
  </si>
  <si>
    <t>P05060313421234</t>
  </si>
  <si>
    <t xml:space="preserve">BUREAUX </t>
  </si>
  <si>
    <t>695002084</t>
  </si>
  <si>
    <t>0179000777914</t>
  </si>
  <si>
    <t>KINGUE NGAKA JOEL</t>
  </si>
  <si>
    <t>P05060313431964</t>
  </si>
  <si>
    <t>MOUSSA HASSAN MOUSSA</t>
  </si>
  <si>
    <t>P08210313343329</t>
  </si>
  <si>
    <t>MENOUGA AYISSIMA VICTOIRE</t>
  </si>
  <si>
    <t>P05070313430915</t>
  </si>
  <si>
    <t>TOUTHUI EKWELE STEVE</t>
  </si>
  <si>
    <t>P05070313388511</t>
  </si>
  <si>
    <t>MAHAMAT ZENE OUMAR</t>
  </si>
  <si>
    <t>P05070313429320</t>
  </si>
  <si>
    <t>0179000771206</t>
  </si>
  <si>
    <t>FOFANA BAKORE</t>
  </si>
  <si>
    <t>P05070313421380</t>
  </si>
  <si>
    <t>2218128281</t>
  </si>
  <si>
    <t>ELOKO EPANE</t>
  </si>
  <si>
    <t>P05070313425418</t>
  </si>
  <si>
    <t>SOULE IBRAHIM</t>
  </si>
  <si>
    <t>P05070313431827</t>
  </si>
  <si>
    <t>JOSEPH MANNA GOMIA</t>
  </si>
  <si>
    <t>P05070313429474</t>
  </si>
  <si>
    <t>P05070313429475</t>
  </si>
  <si>
    <t>P05070313429484</t>
  </si>
  <si>
    <t>P05070313429483</t>
  </si>
  <si>
    <t>P05070313429482</t>
  </si>
  <si>
    <t>P05070313429481</t>
  </si>
  <si>
    <t>P05070313429480</t>
  </si>
  <si>
    <t>P05070313429479</t>
  </si>
  <si>
    <t>P05070313429478</t>
  </si>
  <si>
    <t>P05070313429477</t>
  </si>
  <si>
    <t>P05070313429476</t>
  </si>
  <si>
    <t>P05070313429473</t>
  </si>
  <si>
    <t xml:space="preserve">NTONNE CRESENCE </t>
  </si>
  <si>
    <t>P05070313423201</t>
  </si>
  <si>
    <t>MELDEKE SIMON</t>
  </si>
  <si>
    <t>P05070313410066</t>
  </si>
  <si>
    <t>TCHOUOADA KEMDJO</t>
  </si>
  <si>
    <t>P05070313401426</t>
  </si>
  <si>
    <t>FRANCK KINCHIFI</t>
  </si>
  <si>
    <t>P05070313428164</t>
  </si>
  <si>
    <t>ADAMOU MOHAMADOU</t>
  </si>
  <si>
    <t>P05070313316656</t>
  </si>
  <si>
    <t xml:space="preserve">ACHAA DIEUDONNE </t>
  </si>
  <si>
    <t>P05070313428275</t>
  </si>
  <si>
    <t>TANYA DICKSON</t>
  </si>
  <si>
    <t>P05070313430122</t>
  </si>
  <si>
    <t>KOUEKE NERVIGE</t>
  </si>
  <si>
    <t>P05070313400314</t>
  </si>
  <si>
    <t>SAMUEL AGWU MGBABAH</t>
  </si>
  <si>
    <t>P05070313422185</t>
  </si>
  <si>
    <t>ROY CHRIST SAMO BILLE</t>
  </si>
  <si>
    <t>P05070313430683</t>
  </si>
  <si>
    <t>MFOUT OUSSENA</t>
  </si>
  <si>
    <t>P05070313399240</t>
  </si>
  <si>
    <t>P05070313430682</t>
  </si>
  <si>
    <t>P05070313430684</t>
  </si>
  <si>
    <t>JOSEPH BADJI NGUEUNGOUM</t>
  </si>
  <si>
    <t>P05070313424864</t>
  </si>
  <si>
    <t>WAFFO JEAN</t>
  </si>
  <si>
    <t>P05070313431241</t>
  </si>
  <si>
    <t>STE ITG STORE SA</t>
  </si>
  <si>
    <t>P05070313431811</t>
  </si>
  <si>
    <t>NSEKE SONGA BERTHE ALICE</t>
  </si>
  <si>
    <t>P08210313280755</t>
  </si>
  <si>
    <t>IDRISS BALLAH MAHAMED</t>
  </si>
  <si>
    <t>P05060313431082</t>
  </si>
  <si>
    <t>0179000751349</t>
  </si>
  <si>
    <t>P05060313431081</t>
  </si>
  <si>
    <t>0179000759417</t>
  </si>
  <si>
    <t>SEN GERADINE</t>
  </si>
  <si>
    <t>P05060313425503</t>
  </si>
  <si>
    <t>37272801731</t>
  </si>
  <si>
    <t>WANDJI CLEMENTINE</t>
  </si>
  <si>
    <t>P05060313425506</t>
  </si>
  <si>
    <t>37272801749</t>
  </si>
  <si>
    <t>NGOBO DJENGUE LARISSA</t>
  </si>
  <si>
    <t>P05060313433651</t>
  </si>
  <si>
    <t xml:space="preserve">PAUL AIME BONGO </t>
  </si>
  <si>
    <t>P05060313410304</t>
  </si>
  <si>
    <t>CENTRALE D'INGENIERIE</t>
  </si>
  <si>
    <t>P05060313432558</t>
  </si>
  <si>
    <t>0179000770258</t>
  </si>
  <si>
    <t>ZOUBEIDATOU MFAGAM</t>
  </si>
  <si>
    <t>P05070313243872</t>
  </si>
  <si>
    <t>EPOSSI NATACHA DOUMBE</t>
  </si>
  <si>
    <t>P05060313313603</t>
  </si>
  <si>
    <t>DJOMBE EMMANUELLE</t>
  </si>
  <si>
    <t>P05070313433190</t>
  </si>
  <si>
    <t>ANYANSO JOHNSON</t>
  </si>
  <si>
    <t>P05070313432160</t>
  </si>
  <si>
    <t>EKEU JEANNE CHANCELINE</t>
  </si>
  <si>
    <t>P05070313433542</t>
  </si>
  <si>
    <t>KOWAMOU SERGE</t>
  </si>
  <si>
    <t>P05070313432133</t>
  </si>
  <si>
    <t>NSORO ASKANDARI SIDICK</t>
  </si>
  <si>
    <t>P05070313432750</t>
  </si>
  <si>
    <t>NJEUNOU SANDJONG CHARLES</t>
  </si>
  <si>
    <t>P05070313429176</t>
  </si>
  <si>
    <t>AGANGU DENIS</t>
  </si>
  <si>
    <t>P05070313433175</t>
  </si>
  <si>
    <t>ISSOUF BANCE</t>
  </si>
  <si>
    <t>P05070313432064</t>
  </si>
  <si>
    <t>TALLA KENGNE LEONIE</t>
  </si>
  <si>
    <t>P05070313396419</t>
  </si>
  <si>
    <t>NDABO DINA MAURICETTE</t>
  </si>
  <si>
    <t>P05070313427633</t>
  </si>
  <si>
    <t>FOMO SARL</t>
  </si>
  <si>
    <t>P05070313426086</t>
  </si>
  <si>
    <t xml:space="preserve">TCHANA DJEMO BLAISE </t>
  </si>
  <si>
    <t>P05070313343446</t>
  </si>
  <si>
    <t>0263008452165</t>
  </si>
  <si>
    <t>P05070313343453</t>
  </si>
  <si>
    <t>0263008452207</t>
  </si>
  <si>
    <t>P05070313343452</t>
  </si>
  <si>
    <t>0263008452173</t>
  </si>
  <si>
    <t>P05070313343429</t>
  </si>
  <si>
    <t>0263008452181</t>
  </si>
  <si>
    <t>P05070313343447</t>
  </si>
  <si>
    <t>0263008452199</t>
  </si>
  <si>
    <t>ISSA KINDO DJIBRILLA</t>
  </si>
  <si>
    <t>P05070313428924</t>
  </si>
  <si>
    <t>PALNANG YAKOUBOU SALI</t>
  </si>
  <si>
    <t>P05070313426240</t>
  </si>
  <si>
    <t>KANAA ROSE GUYLENE</t>
  </si>
  <si>
    <t>P05070313428846</t>
  </si>
  <si>
    <t>FRUGIER TCHOUZIN LOUIS</t>
  </si>
  <si>
    <t>P05070313425490</t>
  </si>
  <si>
    <t>P05070313425489</t>
  </si>
  <si>
    <t>P05070313425491</t>
  </si>
  <si>
    <t>MOHAMED TRAORE</t>
  </si>
  <si>
    <t>P05070313409483</t>
  </si>
  <si>
    <t>0263008451951</t>
  </si>
  <si>
    <t>P05070313409493</t>
  </si>
  <si>
    <t>0263008451985</t>
  </si>
  <si>
    <t>P05070313409484</t>
  </si>
  <si>
    <t>0263008451993</t>
  </si>
  <si>
    <t>P05070313409485</t>
  </si>
  <si>
    <t>0263008451983</t>
  </si>
  <si>
    <t>BIAGAM NGUANDJUI</t>
  </si>
  <si>
    <t>P05070313410278</t>
  </si>
  <si>
    <t>MOHAMAN RABIOU</t>
  </si>
  <si>
    <t>P05070313432441</t>
  </si>
  <si>
    <t>0263008452140</t>
  </si>
  <si>
    <t>P05070313432439</t>
  </si>
  <si>
    <t>0263008452124</t>
  </si>
  <si>
    <t>P05070313432438</t>
  </si>
  <si>
    <t>0263008452157</t>
  </si>
  <si>
    <t>P05070313432440</t>
  </si>
  <si>
    <t>0263008452132</t>
  </si>
  <si>
    <t xml:space="preserve">BYTHA STEPHANIE LEONIE </t>
  </si>
  <si>
    <t>P05070313416787</t>
  </si>
  <si>
    <t>0179000772295</t>
  </si>
  <si>
    <t>P05070313416789</t>
  </si>
  <si>
    <t>0263008451423</t>
  </si>
  <si>
    <t>P05070313416788</t>
  </si>
  <si>
    <t>0263008451464</t>
  </si>
  <si>
    <t>P05070313416790</t>
  </si>
  <si>
    <t>0263008451407</t>
  </si>
  <si>
    <t>P05070313416791</t>
  </si>
  <si>
    <t>0263008451472</t>
  </si>
  <si>
    <t>P05070313416792</t>
  </si>
  <si>
    <t>0263008451415</t>
  </si>
  <si>
    <t>P05070313416793</t>
  </si>
  <si>
    <t>0263008451449</t>
  </si>
  <si>
    <t>P05070313416794</t>
  </si>
  <si>
    <t>0263008451431</t>
  </si>
  <si>
    <t>P05070313416795</t>
  </si>
  <si>
    <t>0263008451456</t>
  </si>
  <si>
    <t>LETENE PAUL</t>
  </si>
  <si>
    <t>P05070313431875</t>
  </si>
  <si>
    <t>NGUIDUAT EVELINE AFALNCHA</t>
  </si>
  <si>
    <t>P05070313432300</t>
  </si>
  <si>
    <t>ZALLI BEYEME ESTHER</t>
  </si>
  <si>
    <t>P05070313420071</t>
  </si>
  <si>
    <t xml:space="preserve">MAHAMAT ZENE OUMAR </t>
  </si>
  <si>
    <t>P05070313429321</t>
  </si>
  <si>
    <t>MATSOP JEANINE BLANCHE</t>
  </si>
  <si>
    <t>P05070313415977</t>
  </si>
  <si>
    <t>DJANDA TCHATO HISTAR</t>
  </si>
  <si>
    <t>P05070313415795</t>
  </si>
  <si>
    <t xml:space="preserve">NTE NTUM MOUCHILI </t>
  </si>
  <si>
    <t>P05070313415995</t>
  </si>
  <si>
    <t xml:space="preserve">POUOKAM GODSON </t>
  </si>
  <si>
    <t>P05070313432129</t>
  </si>
  <si>
    <t xml:space="preserve">NGAH AYIE BERNADETTE </t>
  </si>
  <si>
    <t>P05070313415993</t>
  </si>
  <si>
    <t>MENGOUOLOUNE MARIAMA</t>
  </si>
  <si>
    <t>P05070313415786</t>
  </si>
  <si>
    <t>YENDE PAULIN</t>
  </si>
  <si>
    <t>P05070313415974</t>
  </si>
  <si>
    <t>MOHAMAN SANI</t>
  </si>
  <si>
    <t>P05070313433870</t>
  </si>
  <si>
    <t>KONGA MBAH CEDRIC ARMEL</t>
  </si>
  <si>
    <t>P05070313429740</t>
  </si>
  <si>
    <t>GAFAR PAMBOUNDAM ABDOU</t>
  </si>
  <si>
    <t>P05070313432256</t>
  </si>
  <si>
    <t>IDRISSOU BENDE</t>
  </si>
  <si>
    <t>P05070313434471</t>
  </si>
  <si>
    <t>TRABOUN</t>
  </si>
  <si>
    <t>P05070313433443</t>
  </si>
  <si>
    <t>KOUMOULEL ESSOME</t>
  </si>
  <si>
    <t>P05060313408714</t>
  </si>
  <si>
    <t>MFOGHAM MOHAMED</t>
  </si>
  <si>
    <t>P08210313432095</t>
  </si>
  <si>
    <t>ABOUBAKAR SIDIKI</t>
  </si>
  <si>
    <t>P08210313429296</t>
  </si>
  <si>
    <t>TONYE NYOGOL GRACE</t>
  </si>
  <si>
    <t>P08210313433181</t>
  </si>
  <si>
    <t xml:space="preserve">JOSEPHINE LEUGOUE </t>
  </si>
  <si>
    <t>P08210313432282</t>
  </si>
  <si>
    <t>ALEX NEWTONE TANON</t>
  </si>
  <si>
    <t>P08210313431261</t>
  </si>
  <si>
    <t>ANDOUN MARIE</t>
  </si>
  <si>
    <t>P08210313407620</t>
  </si>
  <si>
    <t>GUIDKAI ABRAHAM</t>
  </si>
  <si>
    <t>P05070313398701</t>
  </si>
  <si>
    <t>0263008505079</t>
  </si>
  <si>
    <t>P05070313398693</t>
  </si>
  <si>
    <t>0263008505046</t>
  </si>
  <si>
    <t>P05070313398698</t>
  </si>
  <si>
    <t>0263008505061</t>
  </si>
  <si>
    <t>TOCHUKWU EMMANUEL</t>
  </si>
  <si>
    <t>P05070313306099</t>
  </si>
  <si>
    <t>TALLA DJEMNO ROMUALD</t>
  </si>
  <si>
    <t>P05060313385908</t>
  </si>
  <si>
    <t>TCHOUANCHE SAMUEL RICHE</t>
  </si>
  <si>
    <t>P05060313373970</t>
  </si>
  <si>
    <t>CHARLES RENE KONTELIZO</t>
  </si>
  <si>
    <t>P05070313381376</t>
  </si>
  <si>
    <t xml:space="preserve">DAVID KONGO </t>
  </si>
  <si>
    <t>P05060313266381</t>
  </si>
  <si>
    <t>TEDJOU LEON</t>
  </si>
  <si>
    <t>P05070313263380</t>
  </si>
  <si>
    <t>RICHARD HENRI LOTTIN</t>
  </si>
  <si>
    <t>TSAGUE LEONCE ZITA</t>
  </si>
  <si>
    <t>P05060313257261</t>
  </si>
  <si>
    <t xml:space="preserve">MUTUELLE DU PERSONNEL </t>
  </si>
  <si>
    <t>P05060313421448</t>
  </si>
  <si>
    <t>NGOUHOUO SALIOU</t>
  </si>
  <si>
    <t>P05070313401164</t>
  </si>
  <si>
    <t xml:space="preserve">BASILE NABIL EZZEDINE </t>
  </si>
  <si>
    <t>P05070313409374</t>
  </si>
  <si>
    <t>EBOG EYONG TAKOR</t>
  </si>
  <si>
    <t>P05060313313122</t>
  </si>
  <si>
    <t>MONTHE FOZET JUSTIN</t>
  </si>
  <si>
    <t>P08210313426737</t>
  </si>
  <si>
    <t>HAPPY KEMAJOU WILLY</t>
  </si>
  <si>
    <t>P08210313430803</t>
  </si>
  <si>
    <t>0179000777922</t>
  </si>
  <si>
    <t>TALLA KAMGA GABRIEL</t>
  </si>
  <si>
    <t>P08210313409902</t>
  </si>
  <si>
    <t>0263008479986</t>
  </si>
  <si>
    <t>STE SUPER METAL PLUS SARL</t>
  </si>
  <si>
    <t>P08210313431770</t>
  </si>
  <si>
    <t>0263008451977</t>
  </si>
  <si>
    <t>ANGELE ALIMA ATSAMA</t>
  </si>
  <si>
    <t>P08210313430749</t>
  </si>
  <si>
    <t>GREGORY TRESOR BANYRA</t>
  </si>
  <si>
    <t>P08210313424857</t>
  </si>
  <si>
    <t>MOUDOLO EDOA</t>
  </si>
  <si>
    <t>P08210313426099</t>
  </si>
  <si>
    <t>LOUMOU LOUMOU LUCIEN</t>
  </si>
  <si>
    <t>P08210313426980</t>
  </si>
  <si>
    <t>P08210313430805</t>
  </si>
  <si>
    <t>P08210313430804</t>
  </si>
  <si>
    <t>P08210313424856</t>
  </si>
  <si>
    <t>P08210313421009</t>
  </si>
  <si>
    <t>MEWOULOU ASSE MARIE</t>
  </si>
  <si>
    <t>P05060313429985</t>
  </si>
  <si>
    <t>TENGOUFACK MEKONTCHOU</t>
  </si>
  <si>
    <t>P05060313424767</t>
  </si>
  <si>
    <t>MAFOUO ALBINE FELICITE</t>
  </si>
  <si>
    <t>P05060313430088</t>
  </si>
  <si>
    <t>NGUANDJI ELVIS FONDONGLEKE</t>
  </si>
  <si>
    <t>P05070313399800</t>
  </si>
  <si>
    <t xml:space="preserve">EBONDJI FRANCOISE </t>
  </si>
  <si>
    <t>P05060313434362</t>
  </si>
  <si>
    <t>0263008451969</t>
  </si>
  <si>
    <t>NJENU GANYONGA</t>
  </si>
  <si>
    <t>P05060313430396</t>
  </si>
  <si>
    <t xml:space="preserve">MOUSTAPHA SALI </t>
  </si>
  <si>
    <t>P05060313435611</t>
  </si>
  <si>
    <t>HADIDJATOU ABDOUL KADIRI</t>
  </si>
  <si>
    <t>P05060313435402</t>
  </si>
  <si>
    <t>18117727</t>
  </si>
  <si>
    <t>KOUNG A'MBASSA AOUDOU</t>
  </si>
  <si>
    <t>P05070313293160</t>
  </si>
  <si>
    <t>KENMOGNE BERNARD JIRESSE</t>
  </si>
  <si>
    <t>P05070313435277</t>
  </si>
  <si>
    <t xml:space="preserve">LIMNYUY IBADI </t>
  </si>
  <si>
    <t>P05070313433597</t>
  </si>
  <si>
    <t>NGO NGUENA ROSALINE</t>
  </si>
  <si>
    <t>P05070313430706</t>
  </si>
  <si>
    <t xml:space="preserve">JOHN CHIDEBELE ORAME X </t>
  </si>
  <si>
    <t>P05070313435204</t>
  </si>
  <si>
    <t>P05070313433996</t>
  </si>
  <si>
    <t>P05070313433995</t>
  </si>
  <si>
    <t>HAMA MAROU</t>
  </si>
  <si>
    <t>P05070313431976</t>
  </si>
  <si>
    <t>P05070313431977</t>
  </si>
  <si>
    <t>MBAMBE ETAME  LYLIANE  AIMEE</t>
  </si>
  <si>
    <t>P05070313427262</t>
  </si>
  <si>
    <t>MOHAMAN ISA</t>
  </si>
  <si>
    <t>P05060313430617</t>
  </si>
  <si>
    <t>0179000770836</t>
  </si>
  <si>
    <t>0179000779670</t>
  </si>
  <si>
    <t>MAVIANCE CAMEROUN PLC</t>
  </si>
  <si>
    <t>P08210313434267</t>
  </si>
  <si>
    <t>P08210313434266</t>
  </si>
  <si>
    <t>BLAISE YOUMTO JULES</t>
  </si>
  <si>
    <t>P08210313430739</t>
  </si>
  <si>
    <t>0263008480018</t>
  </si>
  <si>
    <t>BONONG ONGYADAMAN</t>
  </si>
  <si>
    <t>P08210313435556</t>
  </si>
  <si>
    <t>0263008452322</t>
  </si>
  <si>
    <t>SALL AMADOU SADIO</t>
  </si>
  <si>
    <t>P05060313436697</t>
  </si>
  <si>
    <t xml:space="preserve">STE ICE </t>
  </si>
  <si>
    <t>P05060313436669</t>
  </si>
  <si>
    <t xml:space="preserve">PETER DIOR </t>
  </si>
  <si>
    <t>P08210313404480</t>
  </si>
  <si>
    <t>FEZE EVELYNE MAJOLIE</t>
  </si>
  <si>
    <t>P08210313405322</t>
  </si>
  <si>
    <t xml:space="preserve">LEVI JUNIOR ELOKO EPANE </t>
  </si>
  <si>
    <t>P05070313406110</t>
  </si>
  <si>
    <t>DORETHEE PELAGIE NGO NOB</t>
  </si>
  <si>
    <t>P05070313403565</t>
  </si>
  <si>
    <t>TRINITY BUSINESS SOLUTIONS</t>
  </si>
  <si>
    <t>P08210313411504</t>
  </si>
  <si>
    <t>MBILMI VERDUE LAURE</t>
  </si>
  <si>
    <t>P05070313405693</t>
  </si>
  <si>
    <t>NGHEMKAM EPSE DJOMOU ESTHER</t>
  </si>
  <si>
    <t>0263008452355</t>
  </si>
  <si>
    <t>0263008452371</t>
  </si>
  <si>
    <t>0263008452363</t>
  </si>
  <si>
    <t>0263008452330</t>
  </si>
  <si>
    <t>0263008452389</t>
  </si>
  <si>
    <t>FLORENCE KAMGA EPOUSE NDJAMBA</t>
  </si>
  <si>
    <t>0263008452314</t>
  </si>
  <si>
    <t>P08210313419391</t>
  </si>
  <si>
    <t>0263008452306</t>
  </si>
  <si>
    <t>RAKIATOU SOULEYMAN</t>
  </si>
  <si>
    <t>P05070312959993</t>
  </si>
  <si>
    <t>NGANGMENI WANDJI LANDRI</t>
  </si>
  <si>
    <t>P05070313433286</t>
  </si>
  <si>
    <t>0263008452652</t>
  </si>
  <si>
    <t>0263008449807</t>
  </si>
  <si>
    <t>0263008449781</t>
  </si>
  <si>
    <t>0263008449799</t>
  </si>
  <si>
    <t>WENG KEWEN</t>
  </si>
  <si>
    <t>P05060313434313</t>
  </si>
  <si>
    <t>0179000762767</t>
  </si>
  <si>
    <t>P05060313434315</t>
  </si>
  <si>
    <t>0179000760720</t>
  </si>
  <si>
    <t>P05060313434314</t>
  </si>
  <si>
    <t>0179000772394</t>
  </si>
  <si>
    <t>P05060313434316</t>
  </si>
  <si>
    <t>0179000768020</t>
  </si>
  <si>
    <t>P05060313434274</t>
  </si>
  <si>
    <t>0179000768060</t>
  </si>
  <si>
    <t>BR exécuté</t>
  </si>
  <si>
    <t>BR Total</t>
  </si>
  <si>
    <t>Nbre branchement en Cours</t>
  </si>
  <si>
    <t>Nbre Brachements exécuté</t>
  </si>
  <si>
    <t>Brachements exécutés</t>
  </si>
  <si>
    <t>COMPTEURS POSES</t>
  </si>
  <si>
    <t>PRISE EN CHARGE CMS</t>
  </si>
  <si>
    <t>Agences</t>
  </si>
  <si>
    <t>Branchements Exécuté</t>
  </si>
  <si>
    <t>Prise en Charge dans CMS</t>
  </si>
  <si>
    <t>Branchement en Cours</t>
  </si>
  <si>
    <t>B.N Total</t>
  </si>
  <si>
    <t>NEW BELL</t>
  </si>
  <si>
    <t>696169424</t>
  </si>
  <si>
    <t>656090832</t>
  </si>
  <si>
    <t>0263008505053</t>
  </si>
  <si>
    <t>0263008452348</t>
  </si>
  <si>
    <t>656966600</t>
  </si>
  <si>
    <t>0263008449732</t>
  </si>
  <si>
    <t>MOUNGUI/ADJIM</t>
  </si>
  <si>
    <t>691188735</t>
  </si>
  <si>
    <t>0263008449955</t>
  </si>
  <si>
    <t>0263008449922</t>
  </si>
  <si>
    <t>0263008449757</t>
  </si>
  <si>
    <t>0263008449906</t>
  </si>
  <si>
    <t>0263008453304</t>
  </si>
  <si>
    <t>0263008449930</t>
  </si>
  <si>
    <t>0263008453320</t>
  </si>
  <si>
    <t>0263008452595</t>
  </si>
  <si>
    <t>0263008449776</t>
  </si>
  <si>
    <t>0263008494740</t>
  </si>
  <si>
    <t>0263008451480</t>
  </si>
  <si>
    <t>ASKANDAROU ASKANDAROU</t>
  </si>
  <si>
    <t>P05070313413996</t>
  </si>
  <si>
    <t>EWANE NJOH SAMUEL</t>
  </si>
  <si>
    <t>P05070313365429</t>
  </si>
  <si>
    <t>ABRAHAM GUIDKAI</t>
  </si>
  <si>
    <t>P05070313398703</t>
  </si>
  <si>
    <t>NGUANGUE MONGORY ESAIE</t>
  </si>
  <si>
    <t>P08210313322041</t>
  </si>
  <si>
    <t>0263008449773</t>
  </si>
  <si>
    <t>30</t>
  </si>
  <si>
    <t>10</t>
  </si>
  <si>
    <t>NYNYIKOUA MAAH KPOUMIE</t>
  </si>
  <si>
    <t>P08210313264418</t>
  </si>
  <si>
    <t>18120465</t>
  </si>
  <si>
    <t>0</t>
  </si>
  <si>
    <t>SALI AMADOU SADIO</t>
  </si>
  <si>
    <t xml:space="preserve">LASSENWA MARIE CLAIRE </t>
  </si>
  <si>
    <t>P05070313416452</t>
  </si>
  <si>
    <t xml:space="preserve">MAKAMWO GAILLEL </t>
  </si>
  <si>
    <t>P05060313437036</t>
  </si>
  <si>
    <t>MATAKOM BERLISE DUANCE</t>
  </si>
  <si>
    <t>P05060313431999</t>
  </si>
  <si>
    <t>NYAMSI NYAMSI SERGE</t>
  </si>
  <si>
    <t>P05060313429051</t>
  </si>
  <si>
    <t>FOTSING KUITCHE BEAUDELAIRE</t>
  </si>
  <si>
    <t>P05060313437157</t>
  </si>
  <si>
    <t>NGANTCHOUANG GUY ARNAUD</t>
  </si>
  <si>
    <t>P05070313415514</t>
  </si>
  <si>
    <t xml:space="preserve">KUOBIL NELSON </t>
  </si>
  <si>
    <t>P05070313402817</t>
  </si>
  <si>
    <t>KAMGOUE MOTCHIEU WILLI</t>
  </si>
  <si>
    <t>P05070313432180</t>
  </si>
  <si>
    <t>P05070313432181</t>
  </si>
  <si>
    <t>KAMDEM MOUTAJI LUCIEN</t>
  </si>
  <si>
    <t>P05070313381031</t>
  </si>
  <si>
    <t>ASKANDARI SIDICK</t>
  </si>
  <si>
    <t>CELINE MBAPGONG NKEMAZE</t>
  </si>
  <si>
    <t>P05070313426530</t>
  </si>
  <si>
    <t>NJI LEONARD KUBIL</t>
  </si>
  <si>
    <t>P05070313430701</t>
  </si>
  <si>
    <t>TCHATCHOU TCHEPENDA ARMAND</t>
  </si>
  <si>
    <t>P05070313431826</t>
  </si>
  <si>
    <t>TAIWO NASIRU ADEBAYO</t>
  </si>
  <si>
    <t>P05070313429764</t>
  </si>
  <si>
    <t>HONEY HANS NWEKE</t>
  </si>
  <si>
    <t>P08210313422035</t>
  </si>
  <si>
    <t>P08210313422033</t>
  </si>
  <si>
    <t>P08210313422034</t>
  </si>
  <si>
    <t xml:space="preserve">TETNDA GEACUTE RARD </t>
  </si>
  <si>
    <t>P08210313435051</t>
  </si>
  <si>
    <t>NGOB EPOUSE HEGUE VICTORINE</t>
  </si>
  <si>
    <t>P08210313433310</t>
  </si>
  <si>
    <t xml:space="preserve">NDONGO DANIEL </t>
  </si>
  <si>
    <t>P08210313433806</t>
  </si>
  <si>
    <t>PEMHA PEMHA OSCAR</t>
  </si>
  <si>
    <t>P08210313405569</t>
  </si>
  <si>
    <t>EMMANUEL LE PRINCE YEDE YEDE</t>
  </si>
  <si>
    <t>P08210313418168</t>
  </si>
  <si>
    <t xml:space="preserve">MFOULOU CELINE LADOUCE </t>
  </si>
  <si>
    <t>P05070313438048</t>
  </si>
  <si>
    <t>SIMON LAVOISIER EBANDA</t>
  </si>
  <si>
    <t>P08210313431515</t>
  </si>
  <si>
    <t>STEPHEN CHRISTOPHER NWAOCHA</t>
  </si>
  <si>
    <t>P05070313436818</t>
  </si>
  <si>
    <t>P05070313436819</t>
  </si>
  <si>
    <t>NGNITCHI TODOU SERGE HERIC</t>
  </si>
  <si>
    <t>P05070313437172</t>
  </si>
  <si>
    <t>SAHNGA NOKENTCHOUASSI GASTON</t>
  </si>
  <si>
    <t>P05070313434306</t>
  </si>
  <si>
    <t>P05070313434307</t>
  </si>
  <si>
    <t>P05070313434308</t>
  </si>
  <si>
    <t>P05070313434309</t>
  </si>
  <si>
    <t>SARL DJAS ELEC SARL</t>
  </si>
  <si>
    <t>P05060313203504</t>
  </si>
  <si>
    <t>JEANNNETTE LAURENCE NGUIDI</t>
  </si>
  <si>
    <t>P05070313271905</t>
  </si>
  <si>
    <t>MBIANDA DESIREE</t>
  </si>
  <si>
    <t>P05070313434842</t>
  </si>
  <si>
    <t>GOULA SONKWALA ARNAUD</t>
  </si>
  <si>
    <t>P05070313434553</t>
  </si>
  <si>
    <t>ABDOU PEMUNTAH ABDOU</t>
  </si>
  <si>
    <t>P05070313434068</t>
  </si>
  <si>
    <t>POLA TCHIENEGHOM EMILE SUZIE</t>
  </si>
  <si>
    <t>P05070313428882</t>
  </si>
  <si>
    <t xml:space="preserve">MAHAMAN AWAL </t>
  </si>
  <si>
    <t>P05070313434660</t>
  </si>
  <si>
    <t>EZEAMI NOEL</t>
  </si>
  <si>
    <t>P05070313430700</t>
  </si>
  <si>
    <t>SALI OUSMANOU</t>
  </si>
  <si>
    <t>P05070313437042</t>
  </si>
  <si>
    <t>NNOMO NEUILLY NICAISE</t>
  </si>
  <si>
    <t>P05070313432165</t>
  </si>
  <si>
    <t>BAH FOFANA</t>
  </si>
  <si>
    <t>P05070313435304</t>
  </si>
  <si>
    <t>MOUSSA ZAKARIYAOU MOUSSA</t>
  </si>
  <si>
    <t>P05070313424260</t>
  </si>
  <si>
    <t>EPANDI MBOKE HELENE</t>
  </si>
  <si>
    <t>P05070313437401</t>
  </si>
  <si>
    <t>P05070313437400</t>
  </si>
  <si>
    <t>NGASSA HAPI VLADIMIR LOIC</t>
  </si>
  <si>
    <t>P05070313434848</t>
  </si>
  <si>
    <t>P05070313434847</t>
  </si>
  <si>
    <t>P05070313434846</t>
  </si>
  <si>
    <t>P05070313434845</t>
  </si>
  <si>
    <t>P05070313434844</t>
  </si>
  <si>
    <t>P05070313434843</t>
  </si>
  <si>
    <t>P05070313434850</t>
  </si>
  <si>
    <t>P05070313434851</t>
  </si>
  <si>
    <t>P05070313434852</t>
  </si>
  <si>
    <t>P05070313434853</t>
  </si>
  <si>
    <t>P05070313434854</t>
  </si>
  <si>
    <t>P05070313434855</t>
  </si>
  <si>
    <t>MOSQUEE NORUDDIN</t>
  </si>
  <si>
    <t>P05070313422132</t>
  </si>
  <si>
    <t>JACQUES SEVERIN DJOUMTSOP</t>
  </si>
  <si>
    <t>P05070313432761</t>
  </si>
  <si>
    <t xml:space="preserve">DANGOA DAGOSSAI </t>
  </si>
  <si>
    <t>P05070313417915</t>
  </si>
  <si>
    <t>DADJO ALAIN VALERIE</t>
  </si>
  <si>
    <t>P05070313438110</t>
  </si>
  <si>
    <t>NJOYA SANGOY OUSMANE</t>
  </si>
  <si>
    <t>P05070313343445</t>
  </si>
  <si>
    <t>P05070313343449</t>
  </si>
  <si>
    <t>P05070313343451</t>
  </si>
  <si>
    <t>P05070313343450</t>
  </si>
  <si>
    <t>P05070313343448</t>
  </si>
  <si>
    <t>SIMON STEPHANE ONANA TABI</t>
  </si>
  <si>
    <t>P05060313438567</t>
  </si>
  <si>
    <t>AMINOU ASKANDARA AYIAGNIGNI</t>
  </si>
  <si>
    <t>P05060313438003</t>
  </si>
  <si>
    <t>CHEIKH MBACKE THIAM</t>
  </si>
  <si>
    <t>P05060313438923</t>
  </si>
  <si>
    <t>LIKOUSSE EPSE KOROT ANNE MARIE</t>
  </si>
  <si>
    <t>P05070313435065</t>
  </si>
  <si>
    <t xml:space="preserve">DIEUDONNE TCHANA </t>
  </si>
  <si>
    <t>P05070313432435</t>
  </si>
  <si>
    <t xml:space="preserve">FRIDA NDUMA LYONGA </t>
  </si>
  <si>
    <t>P05070313434420</t>
  </si>
  <si>
    <t xml:space="preserve">WAKIAH HILARY DUH </t>
  </si>
  <si>
    <t>P05070313432578</t>
  </si>
  <si>
    <t xml:space="preserve">JEUNES SEBEND JIONGO DOUALA </t>
  </si>
  <si>
    <t>P05070313435651</t>
  </si>
  <si>
    <t xml:space="preserve"> NKOUAMI NGUDAM ALAIN JOEL </t>
  </si>
  <si>
    <t>P05070313433577</t>
  </si>
  <si>
    <t>P05070313433580</t>
  </si>
  <si>
    <t>P05070313433579</t>
  </si>
  <si>
    <t>P05070313433578</t>
  </si>
  <si>
    <t>MBAYA GERARD</t>
  </si>
  <si>
    <t>P05070313435795</t>
  </si>
  <si>
    <t xml:space="preserve">FOGHO BRICE AYMAR </t>
  </si>
  <si>
    <t>P05070313423021</t>
  </si>
  <si>
    <t>JORDAN YEFOU DJIODOP</t>
  </si>
  <si>
    <t>P05070313435739</t>
  </si>
  <si>
    <t>OUSMANOU HASSOUMI</t>
  </si>
  <si>
    <t>P050703134305929</t>
  </si>
  <si>
    <t>EZEKWEM PASCAL CHIOKE</t>
  </si>
  <si>
    <t>P05070313436827</t>
  </si>
  <si>
    <t>P05070313436829</t>
  </si>
  <si>
    <t xml:space="preserve">NANA YOHOUM GUY BERTRAND </t>
  </si>
  <si>
    <t>P05070313416802</t>
  </si>
  <si>
    <t>MAFFEGANG ELODIE</t>
  </si>
  <si>
    <t>P05070313435647</t>
  </si>
  <si>
    <t>CHARLES ABRAHAM NGONO</t>
  </si>
  <si>
    <t>P05070313428824</t>
  </si>
  <si>
    <t xml:space="preserve">TSEJIEP JEANNETTE FLORE </t>
  </si>
  <si>
    <t>P05070313434620</t>
  </si>
  <si>
    <t xml:space="preserve">MAKAILA MAHAMAT </t>
  </si>
  <si>
    <t>P05070313434037</t>
  </si>
  <si>
    <t>FUEN NYANG PAULINA</t>
  </si>
  <si>
    <t>P05070313350713</t>
  </si>
  <si>
    <t>SONGTSA DONGMO EPSENGUEPI</t>
  </si>
  <si>
    <t>P05070313418515</t>
  </si>
  <si>
    <t>AGHOMO EPSE KENGNE GORGETTE</t>
  </si>
  <si>
    <t>P05070313425303</t>
  </si>
  <si>
    <t xml:space="preserve">PENKANDIF OSSAP NADEGRAVE </t>
  </si>
  <si>
    <t>P05070313419148</t>
  </si>
  <si>
    <t>NGASSAM YOHOUM BEATRICE</t>
  </si>
  <si>
    <t>P05070313433960</t>
  </si>
  <si>
    <t>KAMENI BERNARD KAMENI</t>
  </si>
  <si>
    <t>P05070313414396</t>
  </si>
  <si>
    <t xml:space="preserve">NGOUNOU ANNETTE </t>
  </si>
  <si>
    <t>P05070313418531</t>
  </si>
  <si>
    <t>KIDZE MICHEL WIYKIYNYUY</t>
  </si>
  <si>
    <t>P05070313435359</t>
  </si>
  <si>
    <t>ESTHER EPSE MONGWA MECHIE</t>
  </si>
  <si>
    <t>P05070313434614</t>
  </si>
  <si>
    <t>YOUMENI GASTON YOUMENI</t>
  </si>
  <si>
    <t>P08210313437807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</si>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</sst>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C]d\ mmm\ yyyy;@"/>
    <numFmt numFmtId="165" formatCode="[$-12C0C]d\ mmmm\ yyyy;@"/>
  </numFmts>
  <fonts count="12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6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i/>
      <sz val="11"/>
      <color theme="0" tint="-0.499984740745262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0" tint="-0.249977111117893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left"/>
    </xf>
    <xf numFmtId="0" fontId="0" fillId="5" borderId="3" xfId="0" applyFill="1" applyBorder="1"/>
    <xf numFmtId="0" fontId="0" fillId="8" borderId="0" xfId="0" applyFill="1"/>
    <xf numFmtId="0" fontId="0" fillId="7" borderId="1" xfId="0" applyFill="1" applyBorder="1" applyAlignment="1">
      <alignment horizontal="left"/>
    </xf>
    <xf numFmtId="0" fontId="3" fillId="6" borderId="0" xfId="0" applyFont="1" applyFill="1"/>
    <xf numFmtId="0" fontId="3" fillId="6" borderId="2" xfId="0" applyFont="1" applyFill="1" applyBorder="1" applyAlignment="1">
      <alignment horizontal="center"/>
    </xf>
    <xf numFmtId="0" fontId="0" fillId="0" borderId="3" xfId="0" applyBorder="1"/>
    <xf numFmtId="0" fontId="4" fillId="8" borderId="0" xfId="0" applyFont="1" applyFill="1"/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pivotButton="1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 hidden="1"/>
    </xf>
    <xf numFmtId="10" fontId="6" fillId="2" borderId="0" xfId="1" applyNumberFormat="1" applyFont="1" applyFill="1" applyBorder="1" applyAlignment="1">
      <alignment horizontal="center" vertical="top"/>
    </xf>
    <xf numFmtId="10" fontId="0" fillId="0" borderId="0" xfId="1" applyNumberFormat="1" applyFont="1" applyBorder="1"/>
    <xf numFmtId="0" fontId="9" fillId="0" borderId="0" xfId="0" applyFont="1"/>
    <xf numFmtId="0" fontId="9" fillId="0" borderId="1" xfId="1" applyNumberFormat="1" applyFont="1" applyFill="1" applyBorder="1"/>
    <xf numFmtId="10" fontId="10" fillId="9" borderId="4" xfId="1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 applyProtection="1">
      <alignment horizontal="center" vertical="center" wrapText="1"/>
      <protection locked="0" hidden="1"/>
    </xf>
    <xf numFmtId="0" fontId="1" fillId="4" borderId="2" xfId="0" applyFont="1" applyFill="1" applyBorder="1" applyAlignment="1" applyProtection="1">
      <alignment horizontal="center" vertical="center"/>
      <protection locked="0"/>
    </xf>
    <xf numFmtId="164" fontId="1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Alignment="1">
      <alignment horizontal="center" vertical="center" wrapText="1"/>
    </xf>
    <xf numFmtId="165" fontId="11" fillId="8" borderId="0" xfId="0" applyNumberFormat="1" applyFont="1" applyFill="1"/>
    <xf numFmtId="0" fontId="1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4" borderId="2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/>
      <protection hidden="1"/>
    </xf>
    <xf numFmtId="49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164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NumberFormat="1"/>
    <xf numFmtId="0" fontId="8" fillId="8" borderId="0" xfId="0" applyNumberFormat="1" applyFont="1" applyFill="1"/>
  </cellXfs>
  <cellStyles count="2">
    <cellStyle name="Normal" xfId="0" builtinId="0"/>
    <cellStyle name="Per cent" xfId="1" builtinId="5"/>
  </cellStyles>
  <dxfs count="57">
    <dxf>
      <font>
        <color rgb="FFFF0000"/>
      </font>
    </dxf>
    <dxf>
      <fill>
        <patternFill patternType="solid">
          <bgColor theme="0" tint="-0.499984740745262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bgColor theme="0" tint="-0.499984740745262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bgColor theme="0" tint="-0.499984740745262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bgColor theme="0" tint="-0.499984740745262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bgColor theme="0" tint="-0.499984740745262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bgColor theme="0" tint="-0.499984740745262"/>
        </patternFill>
      </fill>
    </dxf>
    <dxf>
      <font>
        <color auto="1"/>
      </font>
    </dxf>
    <dxf>
      <numFmt numFmtId="0" formatCode="General"/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protection locked="1" hidden="1"/>
    </dxf>
    <dxf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alignment horizontal="center" vertical="bottom" textRotation="0" wrapText="0" indent="0" justifyLastLine="0" shrinkToFit="0" readingOrder="0"/>
      <protection locked="1" hidden="1"/>
    </dxf>
    <dxf>
      <protection locked="1" hidden="1"/>
    </dxf>
    <dxf>
      <protection locked="1" hidden="1"/>
    </dxf>
    <dxf>
      <numFmt numFmtId="164" formatCode="[$-C0C]d\ mmm\ yyyy;@"/>
      <protection locked="1" hidden="1"/>
    </dxf>
    <dxf>
      <protection locked="1" hidden="1"/>
    </dxf>
    <dxf>
      <protection locked="1" hidden="1"/>
    </dxf>
    <dxf>
      <numFmt numFmtId="164" formatCode="[$-C0C]d\ mmm\ yyyy;@"/>
      <protection locked="1" hidden="1"/>
    </dxf>
    <dxf>
      <protection locked="1" hidden="1"/>
    </dxf>
    <dxf>
      <protection locked="1" hidden="1"/>
    </dxf>
    <dxf>
      <protection locked="1" hidden="1"/>
    </dxf>
    <dxf>
      <alignment horizontal="left" textRotation="0" indent="0" justifyLastLine="0" shrinkToFit="0" readingOrder="0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164" formatCode="[$-C0C]d\ mmm\ yyyy;@"/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auto="1"/>
      </font>
    </dxf>
    <dxf>
      <fill>
        <patternFill patternType="solid">
          <bgColor theme="0" tint="-0.499984740745262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pivotCacheDefinition" Target="pivotCache/pivotCacheDefinition4.xml"/><Relationship Id="rId12" Type="http://schemas.microsoft.com/office/2007/relationships/slicerCache" Target="slicerCaches/slicerCache5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4.xml"/><Relationship Id="rId5" Type="http://schemas.openxmlformats.org/officeDocument/2006/relationships/pivotCacheDefinition" Target="pivotCache/pivotCacheDefinition2.xml"/><Relationship Id="rId15" Type="http://schemas.openxmlformats.org/officeDocument/2006/relationships/styles" Target="styles.xml"/><Relationship Id="rId10" Type="http://schemas.microsoft.com/office/2007/relationships/slicerCache" Target="slicerCaches/slicerCache3.xml"/><Relationship Id="rId19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2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BASE SUIVI DES BRANCHEMENTS NEUFS.xlsm]TCD 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fr-FR" sz="11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1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Branchements exécutés vs Prises en charge dans CMS</a:t>
            </a:r>
          </a:p>
        </c:rich>
      </c:tx>
      <c:layout>
        <c:manualLayout>
          <c:xMode val="edge"/>
          <c:yMode val="edge"/>
          <c:x val="0.10346803438561006"/>
          <c:y val="4.056678851565564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fr-FR" sz="11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639240049122297E-2"/>
          <c:y val="0.20588785896037803"/>
          <c:w val="0.94475830671754013"/>
          <c:h val="0.663831334060341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'TCD '!$B$11</c:f>
              <c:strCache>
                <c:ptCount val="1"/>
                <c:pt idx="0">
                  <c:v>COMPTEURS POSES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'!$A$12:$A$15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NEWBELL</c:v>
                </c:pt>
              </c:strCache>
            </c:strRef>
          </c:cat>
          <c:val>
            <c:numRef>
              <c:f>'TCD '!$B$12:$B$15</c:f>
              <c:numCache>
                <c:formatCode>General</c:formatCode>
                <c:ptCount val="3"/>
                <c:pt idx="0">
                  <c:v>36</c:v>
                </c:pt>
                <c:pt idx="1">
                  <c:v>62</c:v>
                </c:pt>
                <c:pt idx="2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3-45A3-AC89-D0A88951EAB2}"/>
            </c:ext>
          </c:extLst>
        </c:ser>
        <c:ser>
          <c:idx val="1"/>
          <c:order val="1"/>
          <c:tx>
            <c:strRef>
              <c:f>'TCD '!$C$11</c:f>
              <c:strCache>
                <c:ptCount val="1"/>
                <c:pt idx="0">
                  <c:v>PRISE EN CHARGE CMS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ahoma" panose="020B0604030504040204" pitchFamily="34" charset="0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'!$A$12:$A$15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NEWBELL</c:v>
                </c:pt>
              </c:strCache>
            </c:strRef>
          </c:cat>
          <c:val>
            <c:numRef>
              <c:f>'TCD '!$C$12:$C$15</c:f>
              <c:numCache>
                <c:formatCode>General</c:formatCode>
                <c:ptCount val="3"/>
                <c:pt idx="0">
                  <c:v>14</c:v>
                </c:pt>
                <c:pt idx="1">
                  <c:v>37</c:v>
                </c:pt>
                <c:pt idx="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63-45A3-AC89-D0A88951EA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36637631"/>
        <c:axId val="641534095"/>
      </c:barChart>
      <c:catAx>
        <c:axId val="6366376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fr-FR"/>
          </a:p>
        </c:txPr>
        <c:crossAx val="641534095"/>
        <c:crosses val="autoZero"/>
        <c:auto val="1"/>
        <c:lblAlgn val="ctr"/>
        <c:lblOffset val="100"/>
        <c:noMultiLvlLbl val="0"/>
      </c:catAx>
      <c:valAx>
        <c:axId val="6415340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6376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chemeClr val="tx1"/>
      </a:solidFill>
      <a:round/>
    </a:ln>
    <a:effectLst/>
    <a:scene3d>
      <a:camera prst="orthographicFront"/>
      <a:lightRig rig="soft" dir="t">
        <a:rot lat="0" lon="0" rev="0"/>
      </a:lightRig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BASE SUIVI DES BRANCHEMENTS NEUFS.xlsm]TCD !Tableau croisé dynamique2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fr-FR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fr-FR" sz="14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Suivi Hebdomadaire des Prises en charge  dans CMS</a:t>
            </a:r>
          </a:p>
        </c:rich>
      </c:tx>
      <c:layout>
        <c:manualLayout>
          <c:xMode val="edge"/>
          <c:yMode val="edge"/>
          <c:x val="0.36753572470107904"/>
          <c:y val="6.3188684333029682E-2"/>
        </c:manualLayout>
      </c:layout>
      <c:overlay val="0"/>
      <c:spPr>
        <a:solidFill>
          <a:schemeClr val="bg1"/>
        </a:solidFill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747216942709746E-2"/>
          <c:y val="0.15202879640044994"/>
          <c:w val="0.94475830671754013"/>
          <c:h val="0.68601244844394449"/>
        </c:manualLayout>
      </c:layout>
      <c:lineChart>
        <c:grouping val="standard"/>
        <c:varyColors val="0"/>
        <c:ser>
          <c:idx val="0"/>
          <c:order val="0"/>
          <c:tx>
            <c:strRef>
              <c:f>'TCD '!$F$12</c:f>
              <c:strCache>
                <c:ptCount val="1"/>
                <c:pt idx="0">
                  <c:v>Branchements Exécuté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'TCD '!$E$13:$E$18</c:f>
              <c:strCache>
                <c:ptCount val="5"/>
                <c:pt idx="0">
                  <c:v>lundi</c:v>
                </c:pt>
                <c:pt idx="1">
                  <c:v>mardi</c:v>
                </c:pt>
                <c:pt idx="2">
                  <c:v>mercredi</c:v>
                </c:pt>
                <c:pt idx="3">
                  <c:v>jeudi</c:v>
                </c:pt>
                <c:pt idx="4">
                  <c:v>vendredi</c:v>
                </c:pt>
              </c:strCache>
            </c:strRef>
          </c:cat>
          <c:val>
            <c:numRef>
              <c:f>'TCD '!$F$13:$F$18</c:f>
              <c:numCache>
                <c:formatCode>General</c:formatCode>
                <c:ptCount val="5"/>
                <c:pt idx="0">
                  <c:v>98</c:v>
                </c:pt>
                <c:pt idx="1">
                  <c:v>31</c:v>
                </c:pt>
                <c:pt idx="2">
                  <c:v>21</c:v>
                </c:pt>
                <c:pt idx="3">
                  <c:v>24</c:v>
                </c:pt>
                <c:pt idx="4">
                  <c:v>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46B-4625-9E22-57262D048F82}"/>
            </c:ext>
          </c:extLst>
        </c:ser>
        <c:ser>
          <c:idx val="1"/>
          <c:order val="1"/>
          <c:tx>
            <c:strRef>
              <c:f>'TCD '!$G$12</c:f>
              <c:strCache>
                <c:ptCount val="1"/>
                <c:pt idx="0">
                  <c:v>Prise en Charge dans CMS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'TCD '!$E$13:$E$18</c:f>
              <c:strCache>
                <c:ptCount val="5"/>
                <c:pt idx="0">
                  <c:v>lundi</c:v>
                </c:pt>
                <c:pt idx="1">
                  <c:v>mardi</c:v>
                </c:pt>
                <c:pt idx="2">
                  <c:v>mercredi</c:v>
                </c:pt>
                <c:pt idx="3">
                  <c:v>jeudi</c:v>
                </c:pt>
                <c:pt idx="4">
                  <c:v>vendredi</c:v>
                </c:pt>
              </c:strCache>
            </c:strRef>
          </c:cat>
          <c:val>
            <c:numRef>
              <c:f>'TCD '!$G$13:$G$18</c:f>
              <c:numCache>
                <c:formatCode>General</c:formatCode>
                <c:ptCount val="5"/>
                <c:pt idx="0">
                  <c:v>66</c:v>
                </c:pt>
                <c:pt idx="1">
                  <c:v>12</c:v>
                </c:pt>
                <c:pt idx="2">
                  <c:v>7</c:v>
                </c:pt>
                <c:pt idx="3">
                  <c:v>18</c:v>
                </c:pt>
                <c:pt idx="4">
                  <c:v>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46B-4625-9E22-57262D048F8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36637631"/>
        <c:axId val="641534095"/>
      </c:lineChart>
      <c:catAx>
        <c:axId val="636637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fr-FR"/>
          </a:p>
        </c:txPr>
        <c:crossAx val="641534095"/>
        <c:crosses val="autoZero"/>
        <c:auto val="1"/>
        <c:lblAlgn val="ctr"/>
        <c:lblOffset val="100"/>
        <c:noMultiLvlLbl val="0"/>
      </c:catAx>
      <c:valAx>
        <c:axId val="641534095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637631"/>
        <c:crosses val="autoZero"/>
        <c:crossBetween val="between"/>
      </c:valAx>
      <c:spPr>
        <a:noFill/>
        <a:ln cap="rnd">
          <a:noFill/>
          <a:bevel/>
        </a:ln>
      </c:spPr>
    </c:plotArea>
    <c:plotVisOnly val="1"/>
    <c:dispBlanksAs val="gap"/>
    <c:showDLblsOverMax val="0"/>
    <c:extLst/>
  </c:chart>
  <c:spPr>
    <a:solidFill>
      <a:schemeClr val="bg1">
        <a:lumMod val="75000"/>
      </a:schemeClr>
    </a:solidFill>
    <a:ln w="9525" cap="flat" cmpd="sng" algn="ctr">
      <a:solidFill>
        <a:schemeClr val="tx1"/>
      </a:solidFill>
      <a:round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BASE SUIVI DES BRANCHEMENTS NEUFS.xlsm]TCD !Tableau croisé dynamique4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100" baseline="0"/>
              <a:t>Branchements exécutés vs Branchements en cours</a:t>
            </a:r>
            <a:endParaRPr lang="fr-FR" sz="1100"/>
          </a:p>
        </c:rich>
      </c:tx>
      <c:layout>
        <c:manualLayout>
          <c:xMode val="edge"/>
          <c:yMode val="edge"/>
          <c:x val="0.24673673484173894"/>
          <c:y val="4.74292796733741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>
            <a:noFill/>
          </a:ln>
          <a:effectLst>
            <a:outerShdw blurRad="1270000" dist="19050" dir="5400000" sx="1000" sy="1000" algn="ctr" rotWithShape="0">
              <a:srgbClr val="000000">
                <a:alpha val="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>
            <a:outerShdw blurRad="571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>
            <a:noFill/>
          </a:ln>
          <a:effectLst>
            <a:outerShdw dist="25400" sx="1000" sy="1000" algn="ctr" rotWithShape="0">
              <a:srgbClr val="000000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>
            <a:noFill/>
          </a:ln>
          <a:effectLst>
            <a:outerShdw blurRad="1270000" sx="1000" sy="1000" algn="ctr" rotWithShape="0">
              <a:srgbClr val="000000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>
                      <a:lumMod val="9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99903614774301"/>
          <c:y val="0.18023071464848134"/>
          <c:w val="0.65396762212194637"/>
          <c:h val="0.777461605856569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'TCD '!$B$2</c:f>
              <c:strCache>
                <c:ptCount val="1"/>
                <c:pt idx="0">
                  <c:v>Brachements exécutés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'!$A$3:$A$6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NEWBELL</c:v>
                </c:pt>
              </c:strCache>
            </c:strRef>
          </c:cat>
          <c:val>
            <c:numRef>
              <c:f>'TCD '!$B$3:$B$6</c:f>
              <c:numCache>
                <c:formatCode>General</c:formatCode>
                <c:ptCount val="3"/>
                <c:pt idx="0">
                  <c:v>36</c:v>
                </c:pt>
                <c:pt idx="1">
                  <c:v>62</c:v>
                </c:pt>
                <c:pt idx="2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EB-4B9A-A663-FE9FFB97CD75}"/>
            </c:ext>
          </c:extLst>
        </c:ser>
        <c:ser>
          <c:idx val="1"/>
          <c:order val="1"/>
          <c:tx>
            <c:strRef>
              <c:f>'TCD '!$C$2</c:f>
              <c:strCache>
                <c:ptCount val="1"/>
                <c:pt idx="0">
                  <c:v>Branchement en Cours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'!$A$3:$A$6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NEWBELL</c:v>
                </c:pt>
              </c:strCache>
            </c:strRef>
          </c:cat>
          <c:val>
            <c:numRef>
              <c:f>'TCD '!$C$3:$C$6</c:f>
              <c:numCache>
                <c:formatCode>General</c:formatCode>
                <c:ptCount val="3"/>
                <c:pt idx="0">
                  <c:v>35</c:v>
                </c:pt>
                <c:pt idx="1">
                  <c:v>78</c:v>
                </c:pt>
                <c:pt idx="2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EB-4B9A-A663-FE9FFB97CD75}"/>
            </c:ext>
          </c:extLst>
        </c:ser>
        <c:ser>
          <c:idx val="2"/>
          <c:order val="2"/>
          <c:tx>
            <c:strRef>
              <c:f>'TCD '!$D$2</c:f>
              <c:strCache>
                <c:ptCount val="1"/>
                <c:pt idx="0">
                  <c:v>B.N Total</c:v>
                </c:pt>
              </c:strCache>
            </c:strRef>
          </c:tx>
          <c:spPr>
            <a:noFill/>
            <a:ln>
              <a:noFill/>
            </a:ln>
            <a:effectLst>
              <a:outerShdw blurRad="1270000" sx="1000" sy="1000" algn="ctr" rotWithShape="0">
                <a:srgbClr val="000000"/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9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'TCD '!$A$3:$A$6</c:f>
              <c:strCache>
                <c:ptCount val="3"/>
                <c:pt idx="0">
                  <c:v>AKWA</c:v>
                </c:pt>
                <c:pt idx="1">
                  <c:v>KOUMASSI</c:v>
                </c:pt>
                <c:pt idx="2">
                  <c:v>NEWBELL</c:v>
                </c:pt>
              </c:strCache>
            </c:strRef>
          </c:cat>
          <c:val>
            <c:numRef>
              <c:f>'TCD '!$D$3:$D$6</c:f>
              <c:numCache>
                <c:formatCode>General</c:formatCode>
                <c:ptCount val="3"/>
                <c:pt idx="0">
                  <c:v>71</c:v>
                </c:pt>
                <c:pt idx="1">
                  <c:v>140</c:v>
                </c:pt>
                <c:pt idx="2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EEB-4B9A-A663-FE9FFB97CD7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972937183"/>
        <c:axId val="2031208463"/>
      </c:barChart>
      <c:catAx>
        <c:axId val="197293718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fr-FR"/>
          </a:p>
        </c:txPr>
        <c:crossAx val="2031208463"/>
        <c:crosses val="autoZero"/>
        <c:auto val="1"/>
        <c:lblAlgn val="ctr"/>
        <c:lblOffset val="100"/>
        <c:noMultiLvlLbl val="0"/>
        <c:extLst/>
      </c:catAx>
      <c:valAx>
        <c:axId val="20312084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72937183"/>
        <c:crosses val="autoZero"/>
        <c:crossBetween val="between"/>
        <c:extLst/>
      </c:valAx>
      <c:spPr>
        <a:noFill/>
        <a:ln>
          <a:noFill/>
        </a:ln>
        <a:effectLst>
          <a:outerShdw blurRad="50800" dist="266700" dir="5400000" sx="17000" sy="17000" algn="ctr" rotWithShape="0">
            <a:srgbClr val="000000">
              <a:alpha val="43137"/>
            </a:srgbClr>
          </a:outerShdw>
        </a:effectLst>
      </c:spPr>
    </c:plotArea>
    <c:plotVisOnly val="1"/>
    <c:dispBlanksAs val="gap"/>
    <c:showDLblsOverMax val="0"/>
    <c:extLst/>
  </c:chart>
  <c:spPr>
    <a:solidFill>
      <a:schemeClr val="bg1">
        <a:lumMod val="85000"/>
      </a:schemeClr>
    </a:solidFill>
    <a:ln w="9525" cap="flat" cmpd="sng" algn="ctr">
      <a:solidFill>
        <a:schemeClr val="tx1"/>
      </a:solidFill>
      <a:round/>
    </a:ln>
    <a:effectLst/>
    <a:scene3d>
      <a:camera prst="orthographicFront"/>
      <a:lightRig rig="soft" dir="t">
        <a:rot lat="0" lon="0" rev="0"/>
      </a:lightRig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3" Type="http://schemas.openxmlformats.org/officeDocument/2006/relationships/image" Target="../media/image3.emf"/><Relationship Id="rId7" Type="http://schemas.openxmlformats.org/officeDocument/2006/relationships/chart" Target="../charts/chart3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4.emf"/><Relationship Id="rId5" Type="http://schemas.openxmlformats.org/officeDocument/2006/relationships/chart" Target="../charts/chart2.xml"/><Relationship Id="rId10" Type="http://schemas.openxmlformats.org/officeDocument/2006/relationships/hyperlink" Target="https://www.abyssproject.net/2014/04/mises-jour-darticles-avril-2014/" TargetMode="External"/><Relationship Id="rId4" Type="http://schemas.openxmlformats.org/officeDocument/2006/relationships/chart" Target="../charts/chart1.xml"/><Relationship Id="rId9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66675</xdr:rowOff>
        </xdr:from>
        <xdr:to>
          <xdr:col>3</xdr:col>
          <xdr:colOff>19050</xdr:colOff>
          <xdr:row>1</xdr:row>
          <xdr:rowOff>161925</xdr:rowOff>
        </xdr:to>
        <xdr:sp macro="" textlink="">
          <xdr:nvSpPr>
            <xdr:cNvPr id="9217" name="Update/Actualis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M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Update/Actualiser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95249</xdr:colOff>
      <xdr:row>0</xdr:row>
      <xdr:rowOff>44873</xdr:rowOff>
    </xdr:from>
    <xdr:to>
      <xdr:col>16</xdr:col>
      <xdr:colOff>214312</xdr:colOff>
      <xdr:row>3</xdr:row>
      <xdr:rowOff>59531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357437" y="44873"/>
          <a:ext cx="10025063" cy="586158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900">
              <a:solidFill>
                <a:sysClr val="windowText" lastClr="000000"/>
              </a:solidFill>
              <a:latin typeface="Algerian" panose="04020705040A02060702" pitchFamily="82" charset="0"/>
            </a:rPr>
            <a:t>SUIVI DES BRANCHEMENTS NEUFs_DEC DLA SUD</a:t>
          </a:r>
        </a:p>
      </xdr:txBody>
    </xdr:sp>
    <xdr:clientData/>
  </xdr:twoCellAnchor>
  <xdr:twoCellAnchor>
    <xdr:from>
      <xdr:col>8</xdr:col>
      <xdr:colOff>191455</xdr:colOff>
      <xdr:row>3</xdr:row>
      <xdr:rowOff>135744</xdr:rowOff>
    </xdr:from>
    <xdr:to>
      <xdr:col>11</xdr:col>
      <xdr:colOff>296235</xdr:colOff>
      <xdr:row>8</xdr:row>
      <xdr:rowOff>135744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6263643" y="707244"/>
          <a:ext cx="2390780" cy="952500"/>
          <a:chOff x="5704048" y="520544"/>
          <a:chExt cx="2390780" cy="903974"/>
        </a:xfrm>
      </xdr:grpSpPr>
      <xdr:sp macro="" textlink="">
        <xdr:nvSpPr>
          <xdr:cNvPr id="7" name="Rectangle : coins arrondi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5704048" y="520544"/>
            <a:ext cx="2390780" cy="484873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4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Branchements</a:t>
            </a:r>
            <a:r>
              <a:rPr lang="fr-FR" sz="140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</a:t>
            </a:r>
            <a:r>
              <a:rPr lang="fr-FR" sz="1400" b="1">
                <a:solidFill>
                  <a:schemeClr val="tx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Total</a:t>
            </a:r>
            <a:endParaRPr lang="fr-FR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TCD '!H3">
        <xdr:nvSpPr>
          <xdr:cNvPr id="10" name="ZoneText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5925317" y="1062568"/>
            <a:ext cx="2049192" cy="36195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7AF445D-8E88-4C47-918A-247D505BB73E}" type="TxLink">
              <a:rPr lang="en-US" sz="1600" b="1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marL="0" indent="0" algn="ctr"/>
              <a:t>561</a:t>
            </a:fld>
            <a:endParaRPr lang="fr-FR" sz="24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79525</xdr:colOff>
      <xdr:row>12</xdr:row>
      <xdr:rowOff>79412</xdr:rowOff>
    </xdr:from>
    <xdr:to>
      <xdr:col>3</xdr:col>
      <xdr:colOff>38100</xdr:colOff>
      <xdr:row>17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Mois/Month's 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/Month'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525" y="2365412"/>
              <a:ext cx="2220763" cy="930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154515</xdr:colOff>
      <xdr:row>12</xdr:row>
      <xdr:rowOff>75142</xdr:rowOff>
    </xdr:from>
    <xdr:to>
      <xdr:col>2</xdr:col>
      <xdr:colOff>440531</xdr:colOff>
      <xdr:row>13</xdr:row>
      <xdr:rowOff>170658</xdr:rowOff>
    </xdr:to>
    <xdr:pic>
      <xdr:nvPicPr>
        <xdr:cNvPr id="23" name="Graphique 22" descr="Arrêter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78515" y="2361142"/>
          <a:ext cx="286016" cy="286016"/>
        </a:xfrm>
        <a:prstGeom prst="rect">
          <a:avLst/>
        </a:prstGeom>
      </xdr:spPr>
    </xdr:pic>
    <xdr:clientData/>
  </xdr:twoCellAnchor>
  <xdr:twoCellAnchor editAs="absolute">
    <xdr:from>
      <xdr:col>0</xdr:col>
      <xdr:colOff>70643</xdr:colOff>
      <xdr:row>8</xdr:row>
      <xdr:rowOff>61385</xdr:rowOff>
    </xdr:from>
    <xdr:to>
      <xdr:col>3</xdr:col>
      <xdr:colOff>38099</xdr:colOff>
      <xdr:row>12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Année 1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643" y="1585385"/>
              <a:ext cx="2229644" cy="7768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11</xdr:col>
      <xdr:colOff>732658</xdr:colOff>
      <xdr:row>3</xdr:row>
      <xdr:rowOff>145014</xdr:rowOff>
    </xdr:from>
    <xdr:to>
      <xdr:col>15</xdr:col>
      <xdr:colOff>710787</xdr:colOff>
      <xdr:row>8</xdr:row>
      <xdr:rowOff>123838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9090846" y="716514"/>
          <a:ext cx="3026129" cy="931324"/>
          <a:chOff x="8999562" y="533144"/>
          <a:chExt cx="3026129" cy="931324"/>
        </a:xfrm>
      </xdr:grpSpPr>
      <xdr:sp macro="" textlink="">
        <xdr:nvSpPr>
          <xdr:cNvPr id="8" name="Rectangle : coins arrondis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8999562" y="533144"/>
            <a:ext cx="3026129" cy="439465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600" b="1">
                <a:solidFill>
                  <a:schemeClr val="tx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Branchements</a:t>
            </a:r>
            <a:r>
              <a:rPr lang="fr-FR" sz="1400" b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fr-FR" sz="1400" b="1">
                <a:solidFill>
                  <a:schemeClr val="tx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rPr>
              <a:t>en instances</a:t>
            </a:r>
            <a:endParaRPr lang="fr-FR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'TCD '!I3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9419167" y="1032932"/>
            <a:ext cx="2392450" cy="431536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DDD54F1-EB5C-4CBC-ADEC-9CC731F16D78}" type="TxLink">
              <a:rPr lang="en-US" sz="1600" b="1" i="0" u="none" strike="noStrike">
                <a:solidFill>
                  <a:srgbClr val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pPr marL="0" indent="0" algn="ctr"/>
              <a:t>351</a:t>
            </a:fld>
            <a:endParaRPr lang="fr-FR" sz="24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31" name="Image 30">
                <a:extLst>
                  <a:ext uri="{FF2B5EF4-FFF2-40B4-BE49-F238E27FC236}">
                    <a16:creationId xmlns:a16="http://schemas.microsoft.com/office/drawing/2014/main" id="{00000000-0008-0000-0100-00001F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TCD '!$I$4" spid="_x0000_s9464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11037094" y="1059656"/>
                <a:ext cx="687916" cy="357187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9</xdr:col>
      <xdr:colOff>523874</xdr:colOff>
      <xdr:row>9</xdr:row>
      <xdr:rowOff>119061</xdr:rowOff>
    </xdr:from>
    <xdr:to>
      <xdr:col>16</xdr:col>
      <xdr:colOff>83343</xdr:colOff>
      <xdr:row>23</xdr:row>
      <xdr:rowOff>119062</xdr:rowOff>
    </xdr:to>
    <xdr:graphicFrame macro="">
      <xdr:nvGraphicFramePr>
        <xdr:cNvPr id="38" name="Suivi des Instances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178593</xdr:colOff>
      <xdr:row>23</xdr:row>
      <xdr:rowOff>154781</xdr:rowOff>
    </xdr:from>
    <xdr:to>
      <xdr:col>16</xdr:col>
      <xdr:colOff>95249</xdr:colOff>
      <xdr:row>39</xdr:row>
      <xdr:rowOff>23812</xdr:rowOff>
    </xdr:to>
    <xdr:graphicFrame macro="">
      <xdr:nvGraphicFramePr>
        <xdr:cNvPr id="39" name="Suivi Hebdomadaire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279662</xdr:colOff>
      <xdr:row>3</xdr:row>
      <xdr:rowOff>128333</xdr:rowOff>
    </xdr:from>
    <xdr:to>
      <xdr:col>7</xdr:col>
      <xdr:colOff>750092</xdr:colOff>
      <xdr:row>8</xdr:row>
      <xdr:rowOff>147650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2541850" y="699833"/>
          <a:ext cx="3518430" cy="971817"/>
          <a:chOff x="2541850" y="699833"/>
          <a:chExt cx="3518430" cy="971817"/>
        </a:xfrm>
      </xdr:grpSpPr>
      <xdr:grpSp>
        <xdr:nvGrpSpPr>
          <xdr:cNvPr id="33" name="Groupe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2541850" y="699833"/>
            <a:ext cx="3518430" cy="971817"/>
            <a:chOff x="2500840" y="537631"/>
            <a:chExt cx="3304117" cy="864660"/>
          </a:xfrm>
        </xdr:grpSpPr>
        <xdr:sp macro="" textlink="">
          <xdr:nvSpPr>
            <xdr:cNvPr id="6" name="Rectangle : coins arrondis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2500840" y="537631"/>
              <a:ext cx="3304117" cy="457202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/>
              </a:solidFill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Branchements</a:t>
              </a:r>
              <a:r>
                <a:rPr lang="fr-FR" sz="14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Exécutés</a:t>
              </a:r>
            </a:p>
          </xdr:txBody>
        </xdr:sp>
        <xdr:sp macro="" textlink="'TCD '!G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2652182" y="1033444"/>
              <a:ext cx="2962276" cy="368847"/>
            </a:xfrm>
            <a:prstGeom prst="round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107950" dist="12700" dir="5400000" algn="ctr">
                <a:srgbClr val="000000"/>
              </a:outerShdw>
            </a:effectLst>
            <a:scene3d>
              <a:camera prst="orthographicFront">
                <a:rot lat="0" lon="0" rev="0"/>
              </a:camera>
              <a:lightRig rig="soft" dir="t">
                <a:rot lat="0" lon="0" rev="0"/>
              </a:lightRig>
            </a:scene3d>
            <a:sp3d contourW="44450" prstMaterial="matte">
              <a:bevelT w="63500" h="63500" prst="artDeco"/>
              <a:contourClr>
                <a:srgbClr val="FFFFFF"/>
              </a:contourClr>
            </a:sp3d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8DABEB4-F6E0-4CD6-A4BC-08D4D076AE75}" type="TxLink">
                <a:rPr lang="en-US" sz="1600" b="1" i="0" u="none" strike="noStrike">
                  <a:solidFill>
                    <a:srgbClr val="000000"/>
                  </a:solidFill>
                  <a:latin typeface="Tahoma" panose="020B0604030504040204" pitchFamily="34" charset="0"/>
                  <a:ea typeface="Tahoma" panose="020B0604030504040204" pitchFamily="34" charset="0"/>
                  <a:cs typeface="Tahoma" panose="020B0604030504040204" pitchFamily="34" charset="0"/>
                </a:rPr>
                <a:pPr algn="ctr"/>
                <a:t>210</a:t>
              </a:fld>
              <a:endParaRPr lang="en-US" sz="2400" b="1"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endParaRPr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0" name="Image 39">
                <a:extLst>
                  <a:ext uri="{FF2B5EF4-FFF2-40B4-BE49-F238E27FC236}">
                    <a16:creationId xmlns:a16="http://schemas.microsoft.com/office/drawing/2014/main" id="{00000000-0008-0000-0100-000028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'TCD '!$G$4" spid="_x0000_s9465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4524374" y="1297781"/>
                <a:ext cx="1202532" cy="345282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 w="9525">
                <a:noFill/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16</xdr:col>
      <xdr:colOff>420432</xdr:colOff>
      <xdr:row>0</xdr:row>
      <xdr:rowOff>111375</xdr:rowOff>
    </xdr:from>
    <xdr:to>
      <xdr:col>19</xdr:col>
      <xdr:colOff>632096</xdr:colOff>
      <xdr:row>6</xdr:row>
      <xdr:rowOff>165803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2588620" y="111375"/>
          <a:ext cx="2581007" cy="1197428"/>
          <a:chOff x="12517183" y="87563"/>
          <a:chExt cx="2581007" cy="1197428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12517183" y="87563"/>
            <a:ext cx="2581007" cy="1197428"/>
            <a:chOff x="12700947" y="460943"/>
            <a:chExt cx="2497664" cy="1197428"/>
          </a:xfrm>
        </xdr:grpSpPr>
        <xdr:sp macro="" textlink="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2700947" y="460943"/>
              <a:ext cx="2497664" cy="1197428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 w="9525" cmpd="sng">
              <a:noFill/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  <a:scene3d>
              <a:camera prst="orthographicFront">
                <a:rot lat="0" lon="0" rev="0"/>
              </a:camera>
              <a:lightRig rig="brightRoom" dir="t">
                <a:rot lat="0" lon="0" rev="600000"/>
              </a:lightRig>
            </a:scene3d>
            <a:sp3d prstMaterial="metal">
              <a:bevelT w="38100" h="57150" prst="angle"/>
            </a:sp3d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grpSp>
          <xdr:nvGrpSpPr>
            <xdr:cNvPr id="14" name="Groupe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pSpPr/>
          </xdr:nvGrpSpPr>
          <xdr:grpSpPr>
            <a:xfrm>
              <a:off x="13150794" y="523874"/>
              <a:ext cx="1885099" cy="1059657"/>
              <a:chOff x="13109973" y="578303"/>
              <a:chExt cx="1885099" cy="1059657"/>
            </a:xfrm>
          </xdr:grpSpPr>
          <xdr:sp macro="" textlink="">
            <xdr:nvSpPr>
              <xdr:cNvPr id="15" name="Rectangl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/>
            </xdr:nvSpPr>
            <xdr:spPr>
              <a:xfrm>
                <a:off x="13141095" y="1285646"/>
                <a:ext cx="1853977" cy="352314"/>
              </a:xfrm>
              <a:prstGeom prst="rect">
                <a:avLst/>
              </a:prstGeom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785" dist="33020" dir="3180000" algn="ctr">
                  <a:srgbClr val="000000">
                    <a:alpha val="3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600000"/>
                </a:lightRig>
              </a:scene3d>
              <a:sp3d prstMaterial="metal">
                <a:bevelT w="38100" h="57150" prst="angle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Prise  en Charge dans CMS</a:t>
                </a:r>
              </a:p>
            </xdr:txBody>
          </xdr:sp>
          <xdr:sp macro="" textlink="">
            <xdr:nvSpPr>
              <xdr:cNvPr id="17" name="Rectangle 16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SpPr/>
            </xdr:nvSpPr>
            <xdr:spPr>
              <a:xfrm>
                <a:off x="13121784" y="944221"/>
                <a:ext cx="1873287" cy="288927"/>
              </a:xfrm>
              <a:prstGeom prst="rect">
                <a:avLst/>
              </a:prstGeom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785" dist="33020" dir="3180000" algn="ctr">
                  <a:srgbClr val="000000">
                    <a:alpha val="3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600000"/>
                </a:lightRig>
              </a:scene3d>
              <a:sp3d prstMaterial="metal">
                <a:bevelT w="38100" h="57150" prst="angle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Branchements</a:t>
                </a:r>
                <a:r>
                  <a:rPr lang="fr-FR" sz="1100" b="1" baseline="0">
                    <a:solidFill>
                      <a:schemeClr val="tx1"/>
                    </a:solidFill>
                  </a:rPr>
                  <a:t> en Cours...</a:t>
                </a:r>
                <a:endParaRPr lang="fr-FR" sz="1100" b="1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20" name="Rectangle 19">
                <a:extLst>
                  <a:ext uri="{FF2B5EF4-FFF2-40B4-BE49-F238E27FC236}">
                    <a16:creationId xmlns:a16="http://schemas.microsoft.com/office/drawing/2014/main" id="{00000000-0008-0000-0100-000014000000}"/>
                  </a:ext>
                </a:extLst>
              </xdr:cNvPr>
              <xdr:cNvSpPr/>
            </xdr:nvSpPr>
            <xdr:spPr>
              <a:xfrm>
                <a:off x="13109973" y="578303"/>
                <a:ext cx="1861287" cy="309563"/>
              </a:xfrm>
              <a:prstGeom prst="rect">
                <a:avLst/>
              </a:prstGeom>
              <a:solidFill>
                <a:schemeClr val="bg1">
                  <a:lumMod val="65000"/>
                </a:schemeClr>
              </a:solidFill>
              <a:ln>
                <a:noFill/>
              </a:ln>
              <a:effectLst>
                <a:outerShdw blurRad="57785" dist="33020" dir="3180000" algn="ctr">
                  <a:srgbClr val="000000">
                    <a:alpha val="3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600000"/>
                </a:lightRig>
              </a:scene3d>
              <a:sp3d prstMaterial="metal">
                <a:bevelT w="38100" h="57150" prst="angle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1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Branchements Exécutés</a:t>
                </a:r>
              </a:p>
            </xdr:txBody>
          </xdr:sp>
        </xdr:grpSp>
      </xdr:grpSp>
      <xdr:sp macro="" textlink="">
        <xdr:nvSpPr>
          <xdr:cNvPr id="36" name="Organigramme : Connecteur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2644437" y="916782"/>
            <a:ext cx="178594" cy="178594"/>
          </a:xfrm>
          <a:prstGeom prst="flowChartConnector">
            <a:avLst/>
          </a:prstGeom>
          <a:solidFill>
            <a:srgbClr val="00B05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2" name="Organigramme : Connecteur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630150" y="557213"/>
            <a:ext cx="178594" cy="178594"/>
          </a:xfrm>
          <a:prstGeom prst="flowChartConnector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3" name="Organigramme : Connecteur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2627770" y="209550"/>
            <a:ext cx="178594" cy="178594"/>
          </a:xfrm>
          <a:prstGeom prst="flowChartConnector">
            <a:avLst/>
          </a:prstGeom>
          <a:solidFill>
            <a:schemeClr val="accent1"/>
          </a:solidFill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3</xdr:col>
      <xdr:colOff>166687</xdr:colOff>
      <xdr:row>9</xdr:row>
      <xdr:rowOff>119063</xdr:rowOff>
    </xdr:from>
    <xdr:to>
      <xdr:col>9</xdr:col>
      <xdr:colOff>500061</xdr:colOff>
      <xdr:row>23</xdr:row>
      <xdr:rowOff>130969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59530</xdr:colOff>
      <xdr:row>1</xdr:row>
      <xdr:rowOff>190499</xdr:rowOff>
    </xdr:from>
    <xdr:to>
      <xdr:col>3</xdr:col>
      <xdr:colOff>28575</xdr:colOff>
      <xdr:row>8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GENCE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30" y="381000"/>
              <a:ext cx="2155031" cy="8929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159543</xdr:colOff>
      <xdr:row>2</xdr:row>
      <xdr:rowOff>0</xdr:rowOff>
    </xdr:from>
    <xdr:to>
      <xdr:col>2</xdr:col>
      <xdr:colOff>407193</xdr:colOff>
      <xdr:row>3</xdr:row>
      <xdr:rowOff>57150</xdr:rowOff>
    </xdr:to>
    <xdr:pic>
      <xdr:nvPicPr>
        <xdr:cNvPr id="51" name="Graphique 50" descr="Arrêter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83543" y="381000"/>
          <a:ext cx="247650" cy="247650"/>
        </a:xfrm>
        <a:prstGeom prst="rect">
          <a:avLst/>
        </a:prstGeom>
      </xdr:spPr>
    </xdr:pic>
    <xdr:clientData/>
  </xdr:twoCellAnchor>
  <xdr:twoCellAnchor editAs="absolute">
    <xdr:from>
      <xdr:col>0</xdr:col>
      <xdr:colOff>80961</xdr:colOff>
      <xdr:row>17</xdr:row>
      <xdr:rowOff>59054</xdr:rowOff>
    </xdr:from>
    <xdr:to>
      <xdr:col>3</xdr:col>
      <xdr:colOff>38099</xdr:colOff>
      <xdr:row>26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Jours 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ur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961" y="3297554"/>
              <a:ext cx="2219326" cy="178879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140495</xdr:colOff>
      <xdr:row>17</xdr:row>
      <xdr:rowOff>69056</xdr:rowOff>
    </xdr:from>
    <xdr:to>
      <xdr:col>2</xdr:col>
      <xdr:colOff>399935</xdr:colOff>
      <xdr:row>18</xdr:row>
      <xdr:rowOff>137996</xdr:rowOff>
    </xdr:to>
    <xdr:pic>
      <xdr:nvPicPr>
        <xdr:cNvPr id="53" name="Graphique 52" descr="Arrêter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664495" y="3307556"/>
          <a:ext cx="259440" cy="259440"/>
        </a:xfrm>
        <a:prstGeom prst="rect">
          <a:avLst/>
        </a:prstGeom>
      </xdr:spPr>
    </xdr:pic>
    <xdr:clientData/>
  </xdr:twoCellAnchor>
  <xdr:twoCellAnchor>
    <xdr:from>
      <xdr:col>13</xdr:col>
      <xdr:colOff>269164</xdr:colOff>
      <xdr:row>1</xdr:row>
      <xdr:rowOff>28101</xdr:rowOff>
    </xdr:from>
    <xdr:to>
      <xdr:col>13</xdr:col>
      <xdr:colOff>579790</xdr:colOff>
      <xdr:row>2</xdr:row>
      <xdr:rowOff>121444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0"/>
            </a:ext>
          </a:extLst>
        </a:blip>
        <a:stretch>
          <a:fillRect/>
        </a:stretch>
      </xdr:blipFill>
      <xdr:spPr>
        <a:xfrm>
          <a:off x="10151352" y="218601"/>
          <a:ext cx="310626" cy="283843"/>
        </a:xfrm>
        <a:prstGeom prst="rect">
          <a:avLst/>
        </a:prstGeom>
      </xdr:spPr>
    </xdr:pic>
    <xdr:clientData/>
  </xdr:twoCellAnchor>
  <xdr:twoCellAnchor>
    <xdr:from>
      <xdr:col>14</xdr:col>
      <xdr:colOff>573881</xdr:colOff>
      <xdr:row>1</xdr:row>
      <xdr:rowOff>47151</xdr:rowOff>
    </xdr:from>
    <xdr:to>
      <xdr:col>16</xdr:col>
      <xdr:colOff>185261</xdr:colOff>
      <xdr:row>2</xdr:row>
      <xdr:rowOff>102395</xdr:rowOff>
    </xdr:to>
    <xdr:sp macro="" textlink="$Q$1">
      <xdr:nvSpPr>
        <xdr:cNvPr id="41" name="ZoneText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11218069" y="237651"/>
          <a:ext cx="1135380" cy="2457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EE285E0-A852-40AA-9A77-3FB8DCE07EDC}" type="TxLink">
            <a:rPr lang="en-US" sz="1200" b="1" i="1" u="none" strike="noStrike" baseline="0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13 mai 2024</a:t>
          </a:fld>
          <a:endParaRPr lang="fr-FR" sz="1600" b="1" i="1" u="none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154781</xdr:colOff>
      <xdr:row>1</xdr:row>
      <xdr:rowOff>28101</xdr:rowOff>
    </xdr:from>
    <xdr:to>
      <xdr:col>15</xdr:col>
      <xdr:colOff>119060</xdr:colOff>
      <xdr:row>2</xdr:row>
      <xdr:rowOff>140495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036969" y="218601"/>
          <a:ext cx="1488279" cy="302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300" b="1" i="1" u="none" baseline="0">
              <a:solidFill>
                <a:schemeClr val="bg1">
                  <a:lumMod val="50000"/>
                </a:schemeClr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     Last Update:</a:t>
          </a:r>
          <a:endParaRPr lang="fr-FR" sz="1300" b="1" i="1" u="none">
            <a:solidFill>
              <a:schemeClr val="bg1">
                <a:lumMod val="50000"/>
              </a:schemeClr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76197</xdr:colOff>
      <xdr:row>26</xdr:row>
      <xdr:rowOff>133351</xdr:rowOff>
    </xdr:from>
    <xdr:to>
      <xdr:col>3</xdr:col>
      <xdr:colOff>38099</xdr:colOff>
      <xdr:row>39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TREPRISE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TREPRI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197" y="5086351"/>
              <a:ext cx="2224090" cy="2343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 fLocksWithSheet="0"/>
  </xdr:twoCellAnchor>
  <xdr:twoCellAnchor>
    <xdr:from>
      <xdr:col>2</xdr:col>
      <xdr:colOff>169070</xdr:colOff>
      <xdr:row>26</xdr:row>
      <xdr:rowOff>154781</xdr:rowOff>
    </xdr:from>
    <xdr:to>
      <xdr:col>2</xdr:col>
      <xdr:colOff>428510</xdr:colOff>
      <xdr:row>28</xdr:row>
      <xdr:rowOff>33221</xdr:rowOff>
    </xdr:to>
    <xdr:pic>
      <xdr:nvPicPr>
        <xdr:cNvPr id="45" name="Graphique 44" descr="Arrêter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693070" y="5107781"/>
          <a:ext cx="259440" cy="259440"/>
        </a:xfrm>
        <a:prstGeom prst="rect">
          <a:avLst/>
        </a:prstGeom>
      </xdr:spPr>
    </xdr:pic>
    <xdr:clientData/>
  </xdr:twoCellAnchor>
  <xdr:twoCellAnchor>
    <xdr:from>
      <xdr:col>2</xdr:col>
      <xdr:colOff>156369</xdr:colOff>
      <xdr:row>8</xdr:row>
      <xdr:rowOff>70909</xdr:rowOff>
    </xdr:from>
    <xdr:to>
      <xdr:col>2</xdr:col>
      <xdr:colOff>423069</xdr:colOff>
      <xdr:row>9</xdr:row>
      <xdr:rowOff>145644</xdr:rowOff>
    </xdr:to>
    <xdr:pic>
      <xdr:nvPicPr>
        <xdr:cNvPr id="46" name="Graphique 45" descr="Arrêter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80369" y="1594909"/>
          <a:ext cx="266700" cy="265235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427.231410185188" backgroundQuery="1" createdVersion="6" refreshedVersion="8" minRefreshableVersion="3" recordCount="0" supportSubquery="1" supportAdvancedDrill="1" xr:uid="{C1C6731D-B03E-4658-BF30-4828A5513E41}">
  <cacheSource type="external" connectionId="1"/>
  <cacheFields count="5">
    <cacheField name="[Data_Base].[AGENCE].[AGENCE]" caption="AGENCE" numFmtId="0" hierarchy="2" level="1">
      <sharedItems count="3">
        <s v="AKWA"/>
        <s v="KOUMASSI"/>
        <s v="NEWBELL"/>
      </sharedItems>
    </cacheField>
    <cacheField name="[Measures].[Somme de Nbre Brachements exécuté]" caption="Somme de Nbre Brachements exécuté" numFmtId="0" hierarchy="68" level="32767"/>
    <cacheField name="[Measures].[Somme de Nbre branchement en Cours 2]" caption="Somme de Nbre branchement en Cours 2" numFmtId="0" hierarchy="69" level="32767"/>
    <cacheField name="[Measures].[Somme de B.N Total]" caption="Somme de B.N Total" numFmtId="0" hierarchy="70" level="32767"/>
    <cacheField name="[Data_Base].[Jours].[Jours]" caption="Jours" numFmtId="0" hierarchy="25" level="1">
      <sharedItems containsSemiMixedTypes="0" containsNonDate="0" containsString="0"/>
    </cacheField>
  </cacheFields>
  <cacheHierarchies count="71">
    <cacheHierarchy uniqueName="[Data_Base].[DATE RECEPTION]" caption="DATE RECEPTION" attribute="1" time="1" defaultMemberUniqueName="[Data_Base].[DATE RECEPTION].[All]" allUniqueName="[Data_Base].[DATE RECEPTION].[All]" dimensionUniqueName="[Data_Base]" displayFolder="" count="0" memberValueDatatype="7" unbalanced="0"/>
    <cacheHierarchy uniqueName="[Data_Base].[NOM DU CLIENT]" caption="NOM DU CLIENT" attribute="1" defaultMemberUniqueName="[Data_Base].[NOM DU CLIENT].[All]" allUniqueName="[Data_Base].[NOM DU CLIENT].[All]" dimensionUniqueName="[Data_Base]" displayFolder="" count="0" memberValueDatatype="130" unbalanced="0"/>
    <cacheHierarchy uniqueName="[Data_Base].[AGENCE]" caption="AGENCE" attribute="1" defaultMemberUniqueName="[Data_Base].[AGENCE].[All]" allUniqueName="[Data_Base].[AGENCE].[All]" dimensionUniqueName="[Data_Base]" displayFolder="" count="2" memberValueDatatype="130" unbalanced="0">
      <fieldsUsage count="2">
        <fieldUsage x="-1"/>
        <fieldUsage x="0"/>
      </fieldsUsage>
    </cacheHierarchy>
    <cacheHierarchy uniqueName="[Data_Base].[WR]" caption="WR" attribute="1" defaultMemberUniqueName="[Data_Base].[WR].[All]" allUniqueName="[Data_Base].[WR].[All]" dimensionUniqueName="[Data_Base]" displayFolder="" count="0" memberValueDatatype="130" unbalanced="0"/>
    <cacheHierarchy uniqueName="[Data_Base].[ACTIVITE CLIENT]" caption="ACTIVITE CLIENT" attribute="1" defaultMemberUniqueName="[Data_Base].[ACTIVITE CLIENT].[All]" allUniqueName="[Data_Base].[ACTIVITE CLIENT].[All]" dimensionUniqueName="[Data_Base]" displayFolder="" count="0" memberValueDatatype="130" unbalanced="0"/>
    <cacheHierarchy uniqueName="[Data_Base].[N° TELEPHONE CLIENT]" caption="N° TELEPHONE CLIENT" attribute="1" defaultMemberUniqueName="[Data_Base].[N° TELEPHONE CLIENT].[All]" allUniqueName="[Data_Base].[N° TELEPHONE CLIENT].[All]" dimensionUniqueName="[Data_Base]" displayFolder="" count="0" memberValueDatatype="130" unbalanced="0"/>
    <cacheHierarchy uniqueName="[Data_Base].[ENTREPRISE]" caption="ENTREPRISE" attribute="1" defaultMemberUniqueName="[Data_Base].[ENTREPRISE].[All]" allUniqueName="[Data_Base].[ENTREPRISE].[All]" dimensionUniqueName="[Data_Base]" displayFolder="" count="2" memberValueDatatype="130" unbalanced="0"/>
    <cacheHierarchy uniqueName="[Data_Base].[CHEF EQUIPE]" caption="CHEF EQUIPE" attribute="1" defaultMemberUniqueName="[Data_Base].[CHEF EQUIPE].[All]" allUniqueName="[Data_Base].[CHEF EQUIPE].[All]" dimensionUniqueName="[Data_Base]" displayFolder="" count="0" memberValueDatatype="130" unbalanced="0"/>
    <cacheHierarchy uniqueName="[Data_Base].[EQUIPE D'INTERVENTIONS]" caption="EQUIPE D'INTERVENTIONS" attribute="1" defaultMemberUniqueName="[Data_Base].[EQUIPE D'INTERVENTIONS].[All]" allUniqueName="[Data_Base].[EQUIPE D'INTERVENTIONS].[All]" dimensionUniqueName="[Data_Base]" displayFolder="" count="0" memberValueDatatype="130" unbalanced="0"/>
    <cacheHierarchy uniqueName="[Data_Base].[DATE DE SORTIE MATERIEL]" caption="DATE DE SORTIE MATERIEL" attribute="1" time="1" defaultMemberUniqueName="[Data_Base].[DATE DE SORTIE MATERIEL].[All]" allUniqueName="[Data_Base].[DATE DE SORTIE MATERIEL].[All]" dimensionUniqueName="[Data_Base]" displayFolder="" count="0" memberValueDatatype="7" unbalanced="0"/>
    <cacheHierarchy uniqueName="[Data_Base].[MATERIEL MIS A DISPOSITION]" caption="MATERIEL MIS A DISPOSITION" attribute="1" defaultMemberUniqueName="[Data_Base].[MATERIEL MIS A DISPOSITION].[All]" allUniqueName="[Data_Base].[MATERIEL MIS A DISPOSITION].[All]" dimensionUniqueName="[Data_Base]" displayFolder="" count="0" memberValueDatatype="130" unbalanced="0"/>
    <cacheHierarchy uniqueName="[Data_Base].[N° COMPTEUR SORTI]" caption="N° COMPTEUR SORTI" attribute="1" defaultMemberUniqueName="[Data_Base].[N° COMPTEUR SORTI].[All]" allUniqueName="[Data_Base].[N° COMPTEUR SORTI].[All]" dimensionUniqueName="[Data_Base]" displayFolder="" count="0" memberValueDatatype="130" unbalanced="0"/>
    <cacheHierarchy uniqueName="[Data_Base].[DATE DES TRAVAUX]" caption="DATE DES TRAVAUX" attribute="1" time="1" defaultMemberUniqueName="[Data_Base].[DATE DES TRAVAUX].[All]" allUniqueName="[Data_Base].[DATE DES TRAVAUX].[All]" dimensionUniqueName="[Data_Base]" displayFolder="" count="0" memberValueDatatype="7" unbalanced="0"/>
    <cacheHierarchy uniqueName="[Data_Base].[COMPTEUR POSE SUR LE TERRAIN]" caption="COMPTEUR POSE SUR LE TERRAIN" attribute="1" defaultMemberUniqueName="[Data_Base].[COMPTEUR POSE SUR LE TERRAIN].[All]" allUniqueName="[Data_Base].[COMPTEUR POSE SUR LE TERRAIN].[All]" dimensionUniqueName="[Data_Base]" displayFolder="" count="0" memberValueDatatype="130" unbalanced="0"/>
    <cacheHierarchy uniqueName="[Data_Base].[TYPE DE COMPTEUR]" caption="TYPE DE COMPTEUR" attribute="1" defaultMemberUniqueName="[Data_Base].[TYPE DE COMPTEUR].[All]" allUniqueName="[Data_Base].[TYPE DE COMPTEUR].[All]" dimensionUniqueName="[Data_Base]" displayFolder="" count="0" memberValueDatatype="130" unbalanced="0"/>
    <cacheHierarchy uniqueName="[Data_Base].[CALIBRE DISJONCTEUR(A)]" caption="CALIBRE DISJONCTEUR(A)" attribute="1" defaultMemberUniqueName="[Data_Base].[CALIBRE DISJONCTEUR(A)].[All]" allUniqueName="[Data_Base].[CALIBRE DISJONCTEUR(A)].[All]" dimensionUniqueName="[Data_Base]" displayFolder="" count="0" memberValueDatatype="130" unbalanced="0"/>
    <cacheHierarchy uniqueName="[Data_Base].[INDEX DE POSE]" caption="INDEX DE POSE" attribute="1" defaultMemberUniqueName="[Data_Base].[INDEX DE POSE].[All]" allUniqueName="[Data_Base].[INDEX DE POSE].[All]" dimensionUniqueName="[Data_Base]" displayFolder="" count="0" memberValueDatatype="130" unbalanced="0"/>
    <cacheHierarchy uniqueName="[Data_Base].[RESULTAT DES TRAVAUX]" caption="RESULTAT DES TRAVAUX" attribute="1" defaultMemberUniqueName="[Data_Base].[RESULTAT DES TRAVAUX].[All]" allUniqueName="[Data_Base].[RESULTAT DES TRAVAUX].[All]" dimensionUniqueName="[Data_Base]" displayFolder="" count="0" memberValueDatatype="130" unbalanced="0"/>
    <cacheHierarchy uniqueName="[Data_Base].[STATUT CMS]" caption="STATUT CMS" attribute="1" defaultMemberUniqueName="[Data_Base].[STATUT CMS].[All]" allUniqueName="[Data_Base].[STATUT CMS].[All]" dimensionUniqueName="[Data_Base]" displayFolder="" count="0" memberValueDatatype="130" unbalanced="0"/>
    <cacheHierarchy uniqueName="[Data_Base].[OBSERVATIONS]" caption="OBSERVATIONS" attribute="1" defaultMemberUniqueName="[Data_Base].[OBSERVATIONS].[All]" allUniqueName="[Data_Base].[OBSERVATIONS].[All]" dimensionUniqueName="[Data_Base]" displayFolder="" count="0" memberValueDatatype="130" unbalanced="0"/>
    <cacheHierarchy uniqueName="[Data_Base].[RECOMMANDATIONS]" caption="RECOMMANDATIONS" attribute="1" defaultMemberUniqueName="[Data_Base].[RECOMMANDATIONS].[All]" allUniqueName="[Data_Base].[RECOMMANDATIONS].[All]" dimensionUniqueName="[Data_Base]" displayFolder="" count="0" memberValueDatatype="130" unbalanced="0"/>
    <cacheHierarchy uniqueName="[Data_Base].[B.N Total]" caption="B.N Total" attribute="1" defaultMemberUniqueName="[Data_Base].[B.N Total].[All]" allUniqueName="[Data_Base].[B.N Total].[All]" dimensionUniqueName="[Data_Base]" displayFolder="" count="0" memberValueDatatype="20" unbalanced="0"/>
    <cacheHierarchy uniqueName="[Data_Base].[Nbre Brachements exécuté]" caption="Nbre Brachements exécuté" attribute="1" defaultMemberUniqueName="[Data_Base].[Nbre Brachements exécuté].[All]" allUniqueName="[Data_Base].[Nbre Brachements exécuté].[All]" dimensionUniqueName="[Data_Base]" displayFolder="" count="0" memberValueDatatype="20" unbalanced="0"/>
    <cacheHierarchy uniqueName="[Data_Base].[Nbre branchement en Cours]" caption="Nbre branchement en Cours" attribute="1" defaultMemberUniqueName="[Data_Base].[Nbre branchement en Cours].[All]" allUniqueName="[Data_Base].[Nbre branchement en Cours].[All]" dimensionUniqueName="[Data_Base]" displayFolder="" count="0" memberValueDatatype="20" unbalanced="0"/>
    <cacheHierarchy uniqueName="[Data_Base].[Journée]" caption="Journée" attribute="1" defaultMemberUniqueName="[Data_Base].[Journée].[All]" allUniqueName="[Data_Base].[Journée].[All]" dimensionUniqueName="[Data_Base]" displayFolder="" count="0" memberValueDatatype="130" unbalanced="0"/>
    <cacheHierarchy uniqueName="[Data_Base].[Jours]" caption="Jours" attribute="1" defaultMemberUniqueName="[Data_Base].[Jours].[All]" allUniqueName="[Data_Base].[Jours].[All]" dimensionUniqueName="[Data_Base]" displayFolder="" count="2" memberValueDatatype="130" unbalanced="0">
      <fieldsUsage count="2">
        <fieldUsage x="-1"/>
        <fieldUsage x="4"/>
      </fieldsUsage>
    </cacheHierarchy>
    <cacheHierarchy uniqueName="[Data_Base].[Mois]" caption="Mois" attribute="1" defaultMemberUniqueName="[Data_Base].[Mois].[All]" allUniqueName="[Data_Base].[Mois].[All]" dimensionUniqueName="[Data_Base]" displayFolder="" count="2" memberValueDatatype="130" unbalanced="0"/>
    <cacheHierarchy uniqueName="[Data_Base].[Année]" caption="Année" attribute="1" defaultMemberUniqueName="[Data_Base].[Année].[All]" allUniqueName="[Data_Base].[Année].[All]" dimensionUniqueName="[Data_Base]" displayFolder="" count="2" memberValueDatatype="130" unbalanced="0"/>
    <cacheHierarchy uniqueName="[Data_Base].[DATE RECEPTION (mois)]" caption="DATE RECEPTION (mois)" attribute="1" defaultMemberUniqueName="[Data_Base].[DATE RECEPTION (mois)].[All]" allUniqueName="[Data_Base].[DATE RECEPTION (mois)].[All]" dimensionUniqueName="[Data_Base]" displayFolder="" count="0" memberValueDatatype="130" unbalanced="0"/>
    <cacheHierarchy uniqueName="[Tableau2].[DATE RECEPTION]" caption="DATE RECEPTION" attribute="1" time="1" defaultMemberUniqueName="[Tableau2].[DATE RECEPTION].[All]" allUniqueName="[Tableau2].[DATE RECEPTION].[All]" dimensionUniqueName="[Tableau2]" displayFolder="" count="0" memberValueDatatype="7" unbalanced="0"/>
    <cacheHierarchy uniqueName="[Tableau2].[NOM DU CLIENT]" caption="NOM DU CLIENT" attribute="1" defaultMemberUniqueName="[Tableau2].[NOM DU CLIENT].[All]" allUniqueName="[Tableau2].[NOM DU CLIENT].[All]" dimensionUniqueName="[Tableau2]" displayFolder="" count="0" memberValueDatatype="130" unbalanced="0"/>
    <cacheHierarchy uniqueName="[Tableau2].[AGENCE]" caption="AGENCE" attribute="1" defaultMemberUniqueName="[Tableau2].[AGENCE].[All]" allUniqueName="[Tableau2].[AGENCE].[All]" dimensionUniqueName="[Tableau2]" displayFolder="" count="0" memberValueDatatype="130" unbalanced="0"/>
    <cacheHierarchy uniqueName="[Tableau2].[WR]" caption="WR" attribute="1" defaultMemberUniqueName="[Tableau2].[WR].[All]" allUniqueName="[Tableau2].[WR].[All]" dimensionUniqueName="[Tableau2]" displayFolder="" count="0" memberValueDatatype="130" unbalanced="0"/>
    <cacheHierarchy uniqueName="[Tableau2].[ACTIVITE CLIENT]" caption="ACTIVITE CLIENT" attribute="1" defaultMemberUniqueName="[Tableau2].[ACTIVITE CLIENT].[All]" allUniqueName="[Tableau2].[ACTIVITE CLIENT].[All]" dimensionUniqueName="[Tableau2]" displayFolder="" count="0" memberValueDatatype="130" unbalanced="0"/>
    <cacheHierarchy uniqueName="[Tableau2].[N° TELEPHONE CLIENT]" caption="N° TELEPHONE CLIENT" attribute="1" defaultMemberUniqueName="[Tableau2].[N° TELEPHONE CLIENT].[All]" allUniqueName="[Tableau2].[N° TELEPHONE CLIENT].[All]" dimensionUniqueName="[Tableau2]" displayFolder="" count="0" memberValueDatatype="130" unbalanced="0"/>
    <cacheHierarchy uniqueName="[Tableau2].[ENTREPRISE]" caption="ENTREPRISE" attribute="1" defaultMemberUniqueName="[Tableau2].[ENTREPRISE].[All]" allUniqueName="[Tableau2].[ENTREPRISE].[All]" dimensionUniqueName="[Tableau2]" displayFolder="" count="0" memberValueDatatype="130" unbalanced="0"/>
    <cacheHierarchy uniqueName="[Tableau2].[CHEF EQUIPE]" caption="CHEF EQUIPE" attribute="1" defaultMemberUniqueName="[Tableau2].[CHEF EQUIPE].[All]" allUniqueName="[Tableau2].[CHEF EQUIPE].[All]" dimensionUniqueName="[Tableau2]" displayFolder="" count="0" memberValueDatatype="130" unbalanced="0"/>
    <cacheHierarchy uniqueName="[Tableau2].[EQUIPE D'INTERVENTIONS]" caption="EQUIPE D'INTERVENTIONS" attribute="1" defaultMemberUniqueName="[Tableau2].[EQUIPE D'INTERVENTIONS].[All]" allUniqueName="[Tableau2].[EQUIPE D'INTERVENTIONS].[All]" dimensionUniqueName="[Tableau2]" displayFolder="" count="0" memberValueDatatype="130" unbalanced="0"/>
    <cacheHierarchy uniqueName="[Tableau2].[DATE DE SORTIE MATERIEL]" caption="DATE DE SORTIE MATERIEL" attribute="1" time="1" defaultMemberUniqueName="[Tableau2].[DATE DE SORTIE MATERIEL].[All]" allUniqueName="[Tableau2].[DATE DE SORTIE MATERIEL].[All]" dimensionUniqueName="[Tableau2]" displayFolder="" count="0" memberValueDatatype="7" unbalanced="0"/>
    <cacheHierarchy uniqueName="[Tableau2].[MATERIEL MIS A DISPOSITION]" caption="MATERIEL MIS A DISPOSITION" attribute="1" defaultMemberUniqueName="[Tableau2].[MATERIEL MIS A DISPOSITION].[All]" allUniqueName="[Tableau2].[MATERIEL MIS A DISPOSITION].[All]" dimensionUniqueName="[Tableau2]" displayFolder="" count="0" memberValueDatatype="130" unbalanced="0"/>
    <cacheHierarchy uniqueName="[Tableau2].[N° COMPTEUR SORTI]" caption="N° COMPTEUR SORTI" attribute="1" defaultMemberUniqueName="[Tableau2].[N° COMPTEUR SORTI].[All]" allUniqueName="[Tableau2].[N° COMPTEUR SORTI].[All]" dimensionUniqueName="[Tableau2]" displayFolder="" count="0" memberValueDatatype="130" unbalanced="0"/>
    <cacheHierarchy uniqueName="[Tableau2].[DATE DES TRAVAUX]" caption="DATE DES TRAVAUX" attribute="1" time="1" defaultMemberUniqueName="[Tableau2].[DATE DES TRAVAUX].[All]" allUniqueName="[Tableau2].[DATE DES TRAVAUX].[All]" dimensionUniqueName="[Tableau2]" displayFolder="" count="0" memberValueDatatype="7" unbalanced="0"/>
    <cacheHierarchy uniqueName="[Tableau2].[COMPTEUR POSE SUR LE TERRAIN]" caption="COMPTEUR POSE SUR LE TERRAIN" attribute="1" defaultMemberUniqueName="[Tableau2].[COMPTEUR POSE SUR LE TERRAIN].[All]" allUniqueName="[Tableau2].[COMPTEUR POSE SUR LE TERRAIN].[All]" dimensionUniqueName="[Tableau2]" displayFolder="" count="0" memberValueDatatype="130" unbalanced="0"/>
    <cacheHierarchy uniqueName="[Tableau2].[TYPE DE COMPTEUR]" caption="TYPE DE COMPTEUR" attribute="1" defaultMemberUniqueName="[Tableau2].[TYPE DE COMPTEUR].[All]" allUniqueName="[Tableau2].[TYPE DE COMPTEUR].[All]" dimensionUniqueName="[Tableau2]" displayFolder="" count="0" memberValueDatatype="130" unbalanced="0"/>
    <cacheHierarchy uniqueName="[Tableau2].[CALIBRE DISJONCTEUR(A)]" caption="CALIBRE DISJONCTEUR(A)" attribute="1" defaultMemberUniqueName="[Tableau2].[CALIBRE DISJONCTEUR(A)].[All]" allUniqueName="[Tableau2].[CALIBRE DISJONCTEUR(A)].[All]" dimensionUniqueName="[Tableau2]" displayFolder="" count="0" memberValueDatatype="20" unbalanced="0"/>
    <cacheHierarchy uniqueName="[Tableau2].[INDEX DE POSE]" caption="INDEX DE POSE" attribute="1" defaultMemberUniqueName="[Tableau2].[INDEX DE POSE].[All]" allUniqueName="[Tableau2].[INDEX DE POSE].[All]" dimensionUniqueName="[Tableau2]" displayFolder="" count="0" memberValueDatatype="20" unbalanced="0"/>
    <cacheHierarchy uniqueName="[Tableau2].[RESULTAT DES TRAVAUX]" caption="RESULTAT DES TRAVAUX" attribute="1" defaultMemberUniqueName="[Tableau2].[RESULTAT DES TRAVAUX].[All]" allUniqueName="[Tableau2].[RESULTAT DES TRAVAUX].[All]" dimensionUniqueName="[Tableau2]" displayFolder="" count="0" memberValueDatatype="130" unbalanced="0"/>
    <cacheHierarchy uniqueName="[Tableau2].[STATUT CMS]" caption="STATUT CMS" attribute="1" defaultMemberUniqueName="[Tableau2].[STATUT CMS].[All]" allUniqueName="[Tableau2].[STATUT CMS].[All]" dimensionUniqueName="[Tableau2]" displayFolder="" count="0" memberValueDatatype="130" unbalanced="0"/>
    <cacheHierarchy uniqueName="[Tableau2].[OBSERVATIONS]" caption="OBSERVATIONS" attribute="1" defaultMemberUniqueName="[Tableau2].[OBSERVATIONS].[All]" allUniqueName="[Tableau2].[OBSERVATIONS].[All]" dimensionUniqueName="[Tableau2]" displayFolder="" count="0" memberValueDatatype="130" unbalanced="0"/>
    <cacheHierarchy uniqueName="[Tableau2].[RECOMMANDATIONS]" caption="RECOMMANDATIONS" attribute="1" defaultMemberUniqueName="[Tableau2].[RECOMMANDATIONS].[All]" allUniqueName="[Tableau2].[RECOMMANDATIONS].[All]" dimensionUniqueName="[Tableau2]" displayFolder="" count="0" memberValueDatatype="130" unbalanced="0"/>
    <cacheHierarchy uniqueName="[Tableau2].[B.N Total]" caption="B.N Total" attribute="1" defaultMemberUniqueName="[Tableau2].[B.N Total].[All]" allUniqueName="[Tableau2].[B.N Total].[All]" dimensionUniqueName="[Tableau2]" displayFolder="" count="0" memberValueDatatype="20" unbalanced="0"/>
    <cacheHierarchy uniqueName="[Tableau2].[Nbre Brachements exécuté]" caption="Nbre Brachements exécuté" attribute="1" defaultMemberUniqueName="[Tableau2].[Nbre Brachements exécuté].[All]" allUniqueName="[Tableau2].[Nbre Brachements exécuté].[All]" dimensionUniqueName="[Tableau2]" displayFolder="" count="0" memberValueDatatype="20" unbalanced="0"/>
    <cacheHierarchy uniqueName="[Tableau2].[Nbre branchement en Cours]" caption="Nbre branchement en Cours" attribute="1" defaultMemberUniqueName="[Tableau2].[Nbre branchement en Cours].[All]" allUniqueName="[Tableau2].[Nbre branchement en Cours].[All]" dimensionUniqueName="[Tableau2]" displayFolder="" count="0" memberValueDatatype="20" unbalanced="0"/>
    <cacheHierarchy uniqueName="[Tableau2].[Journée]" caption="Journée" attribute="1" defaultMemberUniqueName="[Tableau2].[Journée].[All]" allUniqueName="[Tableau2].[Journée].[All]" dimensionUniqueName="[Tableau2]" displayFolder="" count="0" memberValueDatatype="130" unbalanced="0"/>
    <cacheHierarchy uniqueName="[Tableau2].[Jours]" caption="Jours" attribute="1" defaultMemberUniqueName="[Tableau2].[Jours].[All]" allUniqueName="[Tableau2].[Jours].[All]" dimensionUniqueName="[Tableau2]" displayFolder="" count="0" memberValueDatatype="130" unbalanced="0"/>
    <cacheHierarchy uniqueName="[Tableau2].[Mois]" caption="Mois" attribute="1" defaultMemberUniqueName="[Tableau2].[Mois].[All]" allUniqueName="[Tableau2].[Mois].[All]" dimensionUniqueName="[Tableau2]" displayFolder="" count="0" memberValueDatatype="130" unbalanced="0"/>
    <cacheHierarchy uniqueName="[Tableau2].[Année]" caption="Année" attribute="1" defaultMemberUniqueName="[Tableau2].[Année].[All]" allUniqueName="[Tableau2].[Année].[All]" dimensionUniqueName="[Tableau2]" displayFolder="" count="0" memberValueDatatype="130" unbalanced="0"/>
    <cacheHierarchy uniqueName="[Data_Base].[DATE RECEPTION (index des mois)]" caption="DATE RECEPTION (index des mois)" attribute="1" defaultMemberUniqueName="[Data_Base].[DATE RECEPTION (index des mois)].[All]" allUniqueName="[Data_Base].[DATE RECEPTION (index des mois)].[All]" dimensionUniqueName="[Data_Base]" displayFolder="" count="0" memberValueDatatype="20" unbalanced="0" hidden="1"/>
    <cacheHierarchy uniqueName="[Measures].[__XL_Count Tableau2]" caption="__XL_Count Tableau2" measure="1" displayFolder="" measureGroup="Tableau2" count="0" hidden="1"/>
    <cacheHierarchy uniqueName="[Measures].[__XL_Count Data_Base]" caption="__XL_Count Data_Base" measure="1" displayFolder="" measureGroup="Data_Base" count="0" hidden="1"/>
    <cacheHierarchy uniqueName="[Measures].[__No measures defined]" caption="__No measures defined" measure="1" displayFolder="" count="0" hidden="1"/>
    <cacheHierarchy uniqueName="[Measures].[Nombre de WR]" caption="Nombre de WR" measure="1" displayFolder="" measureGroup="Tableau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COMPTEUR POSE SUR LE TERRAIN]" caption="Nombre de COMPTEUR POSE SUR LE TERRAIN" measure="1" displayFolder="" measureGroup="Tableau2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Nombre de STATUT CMS]" caption="Nombre de STATUT CMS" measure="1" displayFolder="" measureGroup="Tableau2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B.N Total]" caption="Sum of B.N Total" measure="1" displayFolder="" measureGroup="Tableau2" count="0" hidden="1"/>
    <cacheHierarchy uniqueName="[Measures].[Somme de Nbre branchement en Cours]" caption="Somme de Nbre branchement en Cours" measure="1" displayFolder="" measureGroup="Tableau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Nombre de COMPTEUR POSE SUR LE TERRAIN 2]" caption="Nombre de COMPTEUR POSE SUR LE TERRAIN 2" measure="1" displayFolder="" measureGroup="Data_Bas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Nombre de STATUT CMS 2]" caption="Nombre de STATUT CMS 2" measure="1" displayFolder="" measureGroup="Data_Bas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Nbre Brachements exécuté]" caption="Somme de Nbre Brachements exécuté" measure="1" displayFolder="" measureGroup="Data_Bas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re branchement en Cours 2]" caption="Somme de Nbre branchement en Cours 2" measure="1" displayFolder="" measureGroup="Data_Bas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e de B.N Total]" caption="Somme de B.N Total" measure="1" displayFolder="" measureGroup="Data_Bas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3">
    <dimension name="Data_Base" uniqueName="[Data_Base]" caption="Data_Base"/>
    <dimension measure="1" name="Measures" uniqueName="[Measures]" caption="Measures"/>
    <dimension name="Tableau2" uniqueName="[Tableau2]" caption="Tableau2"/>
  </dimensions>
  <measureGroups count="2">
    <measureGroup name="Data_Base" caption="Data_Base"/>
    <measureGroup name="Tableau2" caption="Tableau2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427.231411458335" backgroundQuery="1" createdVersion="6" refreshedVersion="8" minRefreshableVersion="3" recordCount="0" supportSubquery="1" supportAdvancedDrill="1" xr:uid="{37E45C0C-0E99-46ED-8E01-68FA944324BC}">
  <cacheSource type="external" connectionId="1"/>
  <cacheFields count="4">
    <cacheField name="[Data_Base].[AGENCE].[AGENCE]" caption="AGENCE" numFmtId="0" hierarchy="2" level="1">
      <sharedItems count="3">
        <s v="AKWA"/>
        <s v="KOUMASSI"/>
        <s v="NEWBELL"/>
      </sharedItems>
    </cacheField>
    <cacheField name="[Measures].[Nombre de COMPTEUR POSE SUR LE TERRAIN 2]" caption="Nombre de COMPTEUR POSE SUR LE TERRAIN 2" numFmtId="0" hierarchy="66" level="32767"/>
    <cacheField name="[Measures].[Nombre de STATUT CMS 2]" caption="Nombre de STATUT CMS 2" numFmtId="0" hierarchy="67" level="32767"/>
    <cacheField name="[Data_Base].[Jours].[Jours]" caption="Jours" numFmtId="0" hierarchy="25" level="1">
      <sharedItems containsSemiMixedTypes="0" containsNonDate="0" containsString="0"/>
    </cacheField>
  </cacheFields>
  <cacheHierarchies count="71">
    <cacheHierarchy uniqueName="[Data_Base].[DATE RECEPTION]" caption="DATE RECEPTION" attribute="1" time="1" defaultMemberUniqueName="[Data_Base].[DATE RECEPTION].[All]" allUniqueName="[Data_Base].[DATE RECEPTION].[All]" dimensionUniqueName="[Data_Base]" displayFolder="" count="0" memberValueDatatype="7" unbalanced="0"/>
    <cacheHierarchy uniqueName="[Data_Base].[NOM DU CLIENT]" caption="NOM DU CLIENT" attribute="1" defaultMemberUniqueName="[Data_Base].[NOM DU CLIENT].[All]" allUniqueName="[Data_Base].[NOM DU CLIENT].[All]" dimensionUniqueName="[Data_Base]" displayFolder="" count="0" memberValueDatatype="130" unbalanced="0"/>
    <cacheHierarchy uniqueName="[Data_Base].[AGENCE]" caption="AGENCE" attribute="1" defaultMemberUniqueName="[Data_Base].[AGENCE].[All]" allUniqueName="[Data_Base].[AGENCE].[All]" dimensionUniqueName="[Data_Base]" displayFolder="" count="2" memberValueDatatype="130" unbalanced="0">
      <fieldsUsage count="2">
        <fieldUsage x="-1"/>
        <fieldUsage x="0"/>
      </fieldsUsage>
    </cacheHierarchy>
    <cacheHierarchy uniqueName="[Data_Base].[WR]" caption="WR" attribute="1" defaultMemberUniqueName="[Data_Base].[WR].[All]" allUniqueName="[Data_Base].[WR].[All]" dimensionUniqueName="[Data_Base]" displayFolder="" count="0" memberValueDatatype="130" unbalanced="0"/>
    <cacheHierarchy uniqueName="[Data_Base].[ACTIVITE CLIENT]" caption="ACTIVITE CLIENT" attribute="1" defaultMemberUniqueName="[Data_Base].[ACTIVITE CLIENT].[All]" allUniqueName="[Data_Base].[ACTIVITE CLIENT].[All]" dimensionUniqueName="[Data_Base]" displayFolder="" count="0" memberValueDatatype="130" unbalanced="0"/>
    <cacheHierarchy uniqueName="[Data_Base].[N° TELEPHONE CLIENT]" caption="N° TELEPHONE CLIENT" attribute="1" defaultMemberUniqueName="[Data_Base].[N° TELEPHONE CLIENT].[All]" allUniqueName="[Data_Base].[N° TELEPHONE CLIENT].[All]" dimensionUniqueName="[Data_Base]" displayFolder="" count="0" memberValueDatatype="130" unbalanced="0"/>
    <cacheHierarchy uniqueName="[Data_Base].[ENTREPRISE]" caption="ENTREPRISE" attribute="1" defaultMemberUniqueName="[Data_Base].[ENTREPRISE].[All]" allUniqueName="[Data_Base].[ENTREPRISE].[All]" dimensionUniqueName="[Data_Base]" displayFolder="" count="0" memberValueDatatype="130" unbalanced="0"/>
    <cacheHierarchy uniqueName="[Data_Base].[CHEF EQUIPE]" caption="CHEF EQUIPE" attribute="1" defaultMemberUniqueName="[Data_Base].[CHEF EQUIPE].[All]" allUniqueName="[Data_Base].[CHEF EQUIPE].[All]" dimensionUniqueName="[Data_Base]" displayFolder="" count="0" memberValueDatatype="130" unbalanced="0"/>
    <cacheHierarchy uniqueName="[Data_Base].[EQUIPE D'INTERVENTIONS]" caption="EQUIPE D'INTERVENTIONS" attribute="1" defaultMemberUniqueName="[Data_Base].[EQUIPE D'INTERVENTIONS].[All]" allUniqueName="[Data_Base].[EQUIPE D'INTERVENTIONS].[All]" dimensionUniqueName="[Data_Base]" displayFolder="" count="0" memberValueDatatype="130" unbalanced="0"/>
    <cacheHierarchy uniqueName="[Data_Base].[DATE DE SORTIE MATERIEL]" caption="DATE DE SORTIE MATERIEL" attribute="1" time="1" defaultMemberUniqueName="[Data_Base].[DATE DE SORTIE MATERIEL].[All]" allUniqueName="[Data_Base].[DATE DE SORTIE MATERIEL].[All]" dimensionUniqueName="[Data_Base]" displayFolder="" count="0" memberValueDatatype="7" unbalanced="0"/>
    <cacheHierarchy uniqueName="[Data_Base].[MATERIEL MIS A DISPOSITION]" caption="MATERIEL MIS A DISPOSITION" attribute="1" defaultMemberUniqueName="[Data_Base].[MATERIEL MIS A DISPOSITION].[All]" allUniqueName="[Data_Base].[MATERIEL MIS A DISPOSITION].[All]" dimensionUniqueName="[Data_Base]" displayFolder="" count="0" memberValueDatatype="130" unbalanced="0"/>
    <cacheHierarchy uniqueName="[Data_Base].[N° COMPTEUR SORTI]" caption="N° COMPTEUR SORTI" attribute="1" defaultMemberUniqueName="[Data_Base].[N° COMPTEUR SORTI].[All]" allUniqueName="[Data_Base].[N° COMPTEUR SORTI].[All]" dimensionUniqueName="[Data_Base]" displayFolder="" count="0" memberValueDatatype="130" unbalanced="0"/>
    <cacheHierarchy uniqueName="[Data_Base].[DATE DES TRAVAUX]" caption="DATE DES TRAVAUX" attribute="1" time="1" defaultMemberUniqueName="[Data_Base].[DATE DES TRAVAUX].[All]" allUniqueName="[Data_Base].[DATE DES TRAVAUX].[All]" dimensionUniqueName="[Data_Base]" displayFolder="" count="0" memberValueDatatype="7" unbalanced="0"/>
    <cacheHierarchy uniqueName="[Data_Base].[COMPTEUR POSE SUR LE TERRAIN]" caption="COMPTEUR POSE SUR LE TERRAIN" attribute="1" defaultMemberUniqueName="[Data_Base].[COMPTEUR POSE SUR LE TERRAIN].[All]" allUniqueName="[Data_Base].[COMPTEUR POSE SUR LE TERRAIN].[All]" dimensionUniqueName="[Data_Base]" displayFolder="" count="0" memberValueDatatype="130" unbalanced="0"/>
    <cacheHierarchy uniqueName="[Data_Base].[TYPE DE COMPTEUR]" caption="TYPE DE COMPTEUR" attribute="1" defaultMemberUniqueName="[Data_Base].[TYPE DE COMPTEUR].[All]" allUniqueName="[Data_Base].[TYPE DE COMPTEUR].[All]" dimensionUniqueName="[Data_Base]" displayFolder="" count="0" memberValueDatatype="130" unbalanced="0"/>
    <cacheHierarchy uniqueName="[Data_Base].[CALIBRE DISJONCTEUR(A)]" caption="CALIBRE DISJONCTEUR(A)" attribute="1" defaultMemberUniqueName="[Data_Base].[CALIBRE DISJONCTEUR(A)].[All]" allUniqueName="[Data_Base].[CALIBRE DISJONCTEUR(A)].[All]" dimensionUniqueName="[Data_Base]" displayFolder="" count="0" memberValueDatatype="130" unbalanced="0"/>
    <cacheHierarchy uniqueName="[Data_Base].[INDEX DE POSE]" caption="INDEX DE POSE" attribute="1" defaultMemberUniqueName="[Data_Base].[INDEX DE POSE].[All]" allUniqueName="[Data_Base].[INDEX DE POSE].[All]" dimensionUniqueName="[Data_Base]" displayFolder="" count="0" memberValueDatatype="130" unbalanced="0"/>
    <cacheHierarchy uniqueName="[Data_Base].[RESULTAT DES TRAVAUX]" caption="RESULTAT DES TRAVAUX" attribute="1" defaultMemberUniqueName="[Data_Base].[RESULTAT DES TRAVAUX].[All]" allUniqueName="[Data_Base].[RESULTAT DES TRAVAUX].[All]" dimensionUniqueName="[Data_Base]" displayFolder="" count="0" memberValueDatatype="130" unbalanced="0"/>
    <cacheHierarchy uniqueName="[Data_Base].[STATUT CMS]" caption="STATUT CMS" attribute="1" defaultMemberUniqueName="[Data_Base].[STATUT CMS].[All]" allUniqueName="[Data_Base].[STATUT CMS].[All]" dimensionUniqueName="[Data_Base]" displayFolder="" count="0" memberValueDatatype="130" unbalanced="0"/>
    <cacheHierarchy uniqueName="[Data_Base].[OBSERVATIONS]" caption="OBSERVATIONS" attribute="1" defaultMemberUniqueName="[Data_Base].[OBSERVATIONS].[All]" allUniqueName="[Data_Base].[OBSERVATIONS].[All]" dimensionUniqueName="[Data_Base]" displayFolder="" count="0" memberValueDatatype="130" unbalanced="0"/>
    <cacheHierarchy uniqueName="[Data_Base].[RECOMMANDATIONS]" caption="RECOMMANDATIONS" attribute="1" defaultMemberUniqueName="[Data_Base].[RECOMMANDATIONS].[All]" allUniqueName="[Data_Base].[RECOMMANDATIONS].[All]" dimensionUniqueName="[Data_Base]" displayFolder="" count="0" memberValueDatatype="130" unbalanced="0"/>
    <cacheHierarchy uniqueName="[Data_Base].[B.N Total]" caption="B.N Total" attribute="1" defaultMemberUniqueName="[Data_Base].[B.N Total].[All]" allUniqueName="[Data_Base].[B.N Total].[All]" dimensionUniqueName="[Data_Base]" displayFolder="" count="0" memberValueDatatype="20" unbalanced="0"/>
    <cacheHierarchy uniqueName="[Data_Base].[Nbre Brachements exécuté]" caption="Nbre Brachements exécuté" attribute="1" defaultMemberUniqueName="[Data_Base].[Nbre Brachements exécuté].[All]" allUniqueName="[Data_Base].[Nbre Brachements exécuté].[All]" dimensionUniqueName="[Data_Base]" displayFolder="" count="0" memberValueDatatype="20" unbalanced="0"/>
    <cacheHierarchy uniqueName="[Data_Base].[Nbre branchement en Cours]" caption="Nbre branchement en Cours" attribute="1" defaultMemberUniqueName="[Data_Base].[Nbre branchement en Cours].[All]" allUniqueName="[Data_Base].[Nbre branchement en Cours].[All]" dimensionUniqueName="[Data_Base]" displayFolder="" count="0" memberValueDatatype="20" unbalanced="0"/>
    <cacheHierarchy uniqueName="[Data_Base].[Journée]" caption="Journée" attribute="1" defaultMemberUniqueName="[Data_Base].[Journée].[All]" allUniqueName="[Data_Base].[Journée].[All]" dimensionUniqueName="[Data_Base]" displayFolder="" count="0" memberValueDatatype="130" unbalanced="0"/>
    <cacheHierarchy uniqueName="[Data_Base].[Jours]" caption="Jours" attribute="1" defaultMemberUniqueName="[Data_Base].[Jours].[All]" allUniqueName="[Data_Base].[Jours].[All]" dimensionUniqueName="[Data_Base]" displayFolder="" count="2" memberValueDatatype="130" unbalanced="0">
      <fieldsUsage count="2">
        <fieldUsage x="-1"/>
        <fieldUsage x="3"/>
      </fieldsUsage>
    </cacheHierarchy>
    <cacheHierarchy uniqueName="[Data_Base].[Mois]" caption="Mois" attribute="1" defaultMemberUniqueName="[Data_Base].[Mois].[All]" allUniqueName="[Data_Base].[Mois].[All]" dimensionUniqueName="[Data_Base]" displayFolder="" count="2" memberValueDatatype="130" unbalanced="0"/>
    <cacheHierarchy uniqueName="[Data_Base].[Année]" caption="Année" attribute="1" defaultMemberUniqueName="[Data_Base].[Année].[All]" allUniqueName="[Data_Base].[Année].[All]" dimensionUniqueName="[Data_Base]" displayFolder="" count="2" memberValueDatatype="130" unbalanced="0"/>
    <cacheHierarchy uniqueName="[Data_Base].[DATE RECEPTION (mois)]" caption="DATE RECEPTION (mois)" attribute="1" defaultMemberUniqueName="[Data_Base].[DATE RECEPTION (mois)].[All]" allUniqueName="[Data_Base].[DATE RECEPTION (mois)].[All]" dimensionUniqueName="[Data_Base]" displayFolder="" count="0" memberValueDatatype="130" unbalanced="0"/>
    <cacheHierarchy uniqueName="[Tableau2].[DATE RECEPTION]" caption="DATE RECEPTION" attribute="1" time="1" defaultMemberUniqueName="[Tableau2].[DATE RECEPTION].[All]" allUniqueName="[Tableau2].[DATE RECEPTION].[All]" dimensionUniqueName="[Tableau2]" displayFolder="" count="0" memberValueDatatype="7" unbalanced="0"/>
    <cacheHierarchy uniqueName="[Tableau2].[NOM DU CLIENT]" caption="NOM DU CLIENT" attribute="1" defaultMemberUniqueName="[Tableau2].[NOM DU CLIENT].[All]" allUniqueName="[Tableau2].[NOM DU CLIENT].[All]" dimensionUniqueName="[Tableau2]" displayFolder="" count="0" memberValueDatatype="130" unbalanced="0"/>
    <cacheHierarchy uniqueName="[Tableau2].[AGENCE]" caption="AGENCE" attribute="1" defaultMemberUniqueName="[Tableau2].[AGENCE].[All]" allUniqueName="[Tableau2].[AGENCE].[All]" dimensionUniqueName="[Tableau2]" displayFolder="" count="0" memberValueDatatype="130" unbalanced="0"/>
    <cacheHierarchy uniqueName="[Tableau2].[WR]" caption="WR" attribute="1" defaultMemberUniqueName="[Tableau2].[WR].[All]" allUniqueName="[Tableau2].[WR].[All]" dimensionUniqueName="[Tableau2]" displayFolder="" count="0" memberValueDatatype="130" unbalanced="0"/>
    <cacheHierarchy uniqueName="[Tableau2].[ACTIVITE CLIENT]" caption="ACTIVITE CLIENT" attribute="1" defaultMemberUniqueName="[Tableau2].[ACTIVITE CLIENT].[All]" allUniqueName="[Tableau2].[ACTIVITE CLIENT].[All]" dimensionUniqueName="[Tableau2]" displayFolder="" count="0" memberValueDatatype="130" unbalanced="0"/>
    <cacheHierarchy uniqueName="[Tableau2].[N° TELEPHONE CLIENT]" caption="N° TELEPHONE CLIENT" attribute="1" defaultMemberUniqueName="[Tableau2].[N° TELEPHONE CLIENT].[All]" allUniqueName="[Tableau2].[N° TELEPHONE CLIENT].[All]" dimensionUniqueName="[Tableau2]" displayFolder="" count="0" memberValueDatatype="130" unbalanced="0"/>
    <cacheHierarchy uniqueName="[Tableau2].[ENTREPRISE]" caption="ENTREPRISE" attribute="1" defaultMemberUniqueName="[Tableau2].[ENTREPRISE].[All]" allUniqueName="[Tableau2].[ENTREPRISE].[All]" dimensionUniqueName="[Tableau2]" displayFolder="" count="0" memberValueDatatype="130" unbalanced="0"/>
    <cacheHierarchy uniqueName="[Tableau2].[CHEF EQUIPE]" caption="CHEF EQUIPE" attribute="1" defaultMemberUniqueName="[Tableau2].[CHEF EQUIPE].[All]" allUniqueName="[Tableau2].[CHEF EQUIPE].[All]" dimensionUniqueName="[Tableau2]" displayFolder="" count="0" memberValueDatatype="130" unbalanced="0"/>
    <cacheHierarchy uniqueName="[Tableau2].[EQUIPE D'INTERVENTIONS]" caption="EQUIPE D'INTERVENTIONS" attribute="1" defaultMemberUniqueName="[Tableau2].[EQUIPE D'INTERVENTIONS].[All]" allUniqueName="[Tableau2].[EQUIPE D'INTERVENTIONS].[All]" dimensionUniqueName="[Tableau2]" displayFolder="" count="0" memberValueDatatype="130" unbalanced="0"/>
    <cacheHierarchy uniqueName="[Tableau2].[DATE DE SORTIE MATERIEL]" caption="DATE DE SORTIE MATERIEL" attribute="1" time="1" defaultMemberUniqueName="[Tableau2].[DATE DE SORTIE MATERIEL].[All]" allUniqueName="[Tableau2].[DATE DE SORTIE MATERIEL].[All]" dimensionUniqueName="[Tableau2]" displayFolder="" count="0" memberValueDatatype="7" unbalanced="0"/>
    <cacheHierarchy uniqueName="[Tableau2].[MATERIEL MIS A DISPOSITION]" caption="MATERIEL MIS A DISPOSITION" attribute="1" defaultMemberUniqueName="[Tableau2].[MATERIEL MIS A DISPOSITION].[All]" allUniqueName="[Tableau2].[MATERIEL MIS A DISPOSITION].[All]" dimensionUniqueName="[Tableau2]" displayFolder="" count="0" memberValueDatatype="130" unbalanced="0"/>
    <cacheHierarchy uniqueName="[Tableau2].[N° COMPTEUR SORTI]" caption="N° COMPTEUR SORTI" attribute="1" defaultMemberUniqueName="[Tableau2].[N° COMPTEUR SORTI].[All]" allUniqueName="[Tableau2].[N° COMPTEUR SORTI].[All]" dimensionUniqueName="[Tableau2]" displayFolder="" count="0" memberValueDatatype="130" unbalanced="0"/>
    <cacheHierarchy uniqueName="[Tableau2].[DATE DES TRAVAUX]" caption="DATE DES TRAVAUX" attribute="1" time="1" defaultMemberUniqueName="[Tableau2].[DATE DES TRAVAUX].[All]" allUniqueName="[Tableau2].[DATE DES TRAVAUX].[All]" dimensionUniqueName="[Tableau2]" displayFolder="" count="0" memberValueDatatype="7" unbalanced="0"/>
    <cacheHierarchy uniqueName="[Tableau2].[COMPTEUR POSE SUR LE TERRAIN]" caption="COMPTEUR POSE SUR LE TERRAIN" attribute="1" defaultMemberUniqueName="[Tableau2].[COMPTEUR POSE SUR LE TERRAIN].[All]" allUniqueName="[Tableau2].[COMPTEUR POSE SUR LE TERRAIN].[All]" dimensionUniqueName="[Tableau2]" displayFolder="" count="0" memberValueDatatype="130" unbalanced="0"/>
    <cacheHierarchy uniqueName="[Tableau2].[TYPE DE COMPTEUR]" caption="TYPE DE COMPTEUR" attribute="1" defaultMemberUniqueName="[Tableau2].[TYPE DE COMPTEUR].[All]" allUniqueName="[Tableau2].[TYPE DE COMPTEUR].[All]" dimensionUniqueName="[Tableau2]" displayFolder="" count="0" memberValueDatatype="130" unbalanced="0"/>
    <cacheHierarchy uniqueName="[Tableau2].[CALIBRE DISJONCTEUR(A)]" caption="CALIBRE DISJONCTEUR(A)" attribute="1" defaultMemberUniqueName="[Tableau2].[CALIBRE DISJONCTEUR(A)].[All]" allUniqueName="[Tableau2].[CALIBRE DISJONCTEUR(A)].[All]" dimensionUniqueName="[Tableau2]" displayFolder="" count="0" memberValueDatatype="20" unbalanced="0"/>
    <cacheHierarchy uniqueName="[Tableau2].[INDEX DE POSE]" caption="INDEX DE POSE" attribute="1" defaultMemberUniqueName="[Tableau2].[INDEX DE POSE].[All]" allUniqueName="[Tableau2].[INDEX DE POSE].[All]" dimensionUniqueName="[Tableau2]" displayFolder="" count="0" memberValueDatatype="20" unbalanced="0"/>
    <cacheHierarchy uniqueName="[Tableau2].[RESULTAT DES TRAVAUX]" caption="RESULTAT DES TRAVAUX" attribute="1" defaultMemberUniqueName="[Tableau2].[RESULTAT DES TRAVAUX].[All]" allUniqueName="[Tableau2].[RESULTAT DES TRAVAUX].[All]" dimensionUniqueName="[Tableau2]" displayFolder="" count="0" memberValueDatatype="130" unbalanced="0"/>
    <cacheHierarchy uniqueName="[Tableau2].[STATUT CMS]" caption="STATUT CMS" attribute="1" defaultMemberUniqueName="[Tableau2].[STATUT CMS].[All]" allUniqueName="[Tableau2].[STATUT CMS].[All]" dimensionUniqueName="[Tableau2]" displayFolder="" count="0" memberValueDatatype="130" unbalanced="0"/>
    <cacheHierarchy uniqueName="[Tableau2].[OBSERVATIONS]" caption="OBSERVATIONS" attribute="1" defaultMemberUniqueName="[Tableau2].[OBSERVATIONS].[All]" allUniqueName="[Tableau2].[OBSERVATIONS].[All]" dimensionUniqueName="[Tableau2]" displayFolder="" count="0" memberValueDatatype="130" unbalanced="0"/>
    <cacheHierarchy uniqueName="[Tableau2].[RECOMMANDATIONS]" caption="RECOMMANDATIONS" attribute="1" defaultMemberUniqueName="[Tableau2].[RECOMMANDATIONS].[All]" allUniqueName="[Tableau2].[RECOMMANDATIONS].[All]" dimensionUniqueName="[Tableau2]" displayFolder="" count="0" memberValueDatatype="130" unbalanced="0"/>
    <cacheHierarchy uniqueName="[Tableau2].[B.N Total]" caption="B.N Total" attribute="1" defaultMemberUniqueName="[Tableau2].[B.N Total].[All]" allUniqueName="[Tableau2].[B.N Total].[All]" dimensionUniqueName="[Tableau2]" displayFolder="" count="0" memberValueDatatype="20" unbalanced="0"/>
    <cacheHierarchy uniqueName="[Tableau2].[Nbre Brachements exécuté]" caption="Nbre Brachements exécuté" attribute="1" defaultMemberUniqueName="[Tableau2].[Nbre Brachements exécuté].[All]" allUniqueName="[Tableau2].[Nbre Brachements exécuté].[All]" dimensionUniqueName="[Tableau2]" displayFolder="" count="0" memberValueDatatype="20" unbalanced="0"/>
    <cacheHierarchy uniqueName="[Tableau2].[Nbre branchement en Cours]" caption="Nbre branchement en Cours" attribute="1" defaultMemberUniqueName="[Tableau2].[Nbre branchement en Cours].[All]" allUniqueName="[Tableau2].[Nbre branchement en Cours].[All]" dimensionUniqueName="[Tableau2]" displayFolder="" count="0" memberValueDatatype="20" unbalanced="0"/>
    <cacheHierarchy uniqueName="[Tableau2].[Journée]" caption="Journée" attribute="1" defaultMemberUniqueName="[Tableau2].[Journée].[All]" allUniqueName="[Tableau2].[Journée].[All]" dimensionUniqueName="[Tableau2]" displayFolder="" count="0" memberValueDatatype="130" unbalanced="0"/>
    <cacheHierarchy uniqueName="[Tableau2].[Jours]" caption="Jours" attribute="1" defaultMemberUniqueName="[Tableau2].[Jours].[All]" allUniqueName="[Tableau2].[Jours].[All]" dimensionUniqueName="[Tableau2]" displayFolder="" count="0" memberValueDatatype="130" unbalanced="0"/>
    <cacheHierarchy uniqueName="[Tableau2].[Mois]" caption="Mois" attribute="1" defaultMemberUniqueName="[Tableau2].[Mois].[All]" allUniqueName="[Tableau2].[Mois].[All]" dimensionUniqueName="[Tableau2]" displayFolder="" count="0" memberValueDatatype="130" unbalanced="0"/>
    <cacheHierarchy uniqueName="[Tableau2].[Année]" caption="Année" attribute="1" defaultMemberUniqueName="[Tableau2].[Année].[All]" allUniqueName="[Tableau2].[Année].[All]" dimensionUniqueName="[Tableau2]" displayFolder="" count="0" memberValueDatatype="130" unbalanced="0"/>
    <cacheHierarchy uniqueName="[Data_Base].[DATE RECEPTION (index des mois)]" caption="DATE RECEPTION (index des mois)" attribute="1" defaultMemberUniqueName="[Data_Base].[DATE RECEPTION (index des mois)].[All]" allUniqueName="[Data_Base].[DATE RECEPTION (index des mois)].[All]" dimensionUniqueName="[Data_Base]" displayFolder="" count="0" memberValueDatatype="20" unbalanced="0" hidden="1"/>
    <cacheHierarchy uniqueName="[Measures].[__XL_Count Tableau2]" caption="__XL_Count Tableau2" measure="1" displayFolder="" measureGroup="Tableau2" count="0" hidden="1"/>
    <cacheHierarchy uniqueName="[Measures].[__XL_Count Data_Base]" caption="__XL_Count Data_Base" measure="1" displayFolder="" measureGroup="Data_Base" count="0" hidden="1"/>
    <cacheHierarchy uniqueName="[Measures].[__No measures defined]" caption="__No measures defined" measure="1" displayFolder="" count="0" hidden="1"/>
    <cacheHierarchy uniqueName="[Measures].[Nombre de WR]" caption="Nombre de WR" measure="1" displayFolder="" measureGroup="Tableau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COMPTEUR POSE SUR LE TERRAIN]" caption="Nombre de COMPTEUR POSE SUR LE TERRAIN" measure="1" displayFolder="" measureGroup="Tableau2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Nombre de STATUT CMS]" caption="Nombre de STATUT CMS" measure="1" displayFolder="" measureGroup="Tableau2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B.N Total]" caption="Sum of B.N Total" measure="1" displayFolder="" measureGroup="Tableau2" count="0" hidden="1"/>
    <cacheHierarchy uniqueName="[Measures].[Somme de Nbre branchement en Cours]" caption="Somme de Nbre branchement en Cours" measure="1" displayFolder="" measureGroup="Tableau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Nombre de COMPTEUR POSE SUR LE TERRAIN 2]" caption="Nombre de COMPTEUR POSE SUR LE TERRAIN 2" measure="1" displayFolder="" measureGroup="Data_Bas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Nombre de STATUT CMS 2]" caption="Nombre de STATUT CMS 2" measure="1" displayFolder="" measureGroup="Data_Bas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Nbre Brachements exécuté]" caption="Somme de Nbre Brachements exécuté" measure="1" displayFolder="" measureGroup="Data_Base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re branchement en Cours 2]" caption="Somme de Nbre branchement en Cours 2" measure="1" displayFolder="" measureGroup="Data_Bas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e de B.N Total]" caption="Somme de B.N Total" measure="1" displayFolder="" measureGroup="Data_Bas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3">
    <dimension name="Data_Base" uniqueName="[Data_Base]" caption="Data_Base"/>
    <dimension measure="1" name="Measures" uniqueName="[Measures]" caption="Measures"/>
    <dimension name="Tableau2" uniqueName="[Tableau2]" caption="Tableau2"/>
  </dimensions>
  <measureGroups count="2">
    <measureGroup name="Data_Base" caption="Data_Base"/>
    <measureGroup name="Tableau2" caption="Tableau2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EAN RODRIGUE AWONO" refreshedDate="45427.231412962959" backgroundQuery="1" createdVersion="6" refreshedVersion="8" minRefreshableVersion="3" recordCount="0" supportSubquery="1" supportAdvancedDrill="1" xr:uid="{05B2C476-AC3E-4C00-B8CF-7B4F95F82332}">
  <cacheSource type="external" connectionId="1"/>
  <cacheFields count="4">
    <cacheField name="[Data_Base].[Journée].[Journée]" caption="Journée" numFmtId="0" hierarchy="24" level="1">
      <sharedItems count="5">
        <s v="jeudi"/>
        <s v="lundi"/>
        <s v="mardi"/>
        <s v="mercredi"/>
        <s v="vendredi"/>
      </sharedItems>
    </cacheField>
    <cacheField name="[Measures].[Nombre de STATUT CMS 2]" caption="Nombre de STATUT CMS 2" numFmtId="0" hierarchy="67" level="32767"/>
    <cacheField name="[Measures].[Nombre de COMPTEUR POSE SUR LE TERRAIN 2]" caption="Nombre de COMPTEUR POSE SUR LE TERRAIN 2" numFmtId="0" hierarchy="66" level="32767"/>
    <cacheField name="[Data_Base].[Jours].[Jours]" caption="Jours" numFmtId="0" hierarchy="25" level="1">
      <sharedItems containsSemiMixedTypes="0" containsNonDate="0" containsString="0"/>
    </cacheField>
  </cacheFields>
  <cacheHierarchies count="71">
    <cacheHierarchy uniqueName="[Data_Base].[DATE RECEPTION]" caption="DATE RECEPTION" attribute="1" time="1" defaultMemberUniqueName="[Data_Base].[DATE RECEPTION].[All]" allUniqueName="[Data_Base].[DATE RECEPTION].[All]" dimensionUniqueName="[Data_Base]" displayFolder="" count="0" memberValueDatatype="7" unbalanced="0"/>
    <cacheHierarchy uniqueName="[Data_Base].[NOM DU CLIENT]" caption="NOM DU CLIENT" attribute="1" defaultMemberUniqueName="[Data_Base].[NOM DU CLIENT].[All]" allUniqueName="[Data_Base].[NOM DU CLIENT].[All]" dimensionUniqueName="[Data_Base]" displayFolder="" count="0" memberValueDatatype="130" unbalanced="0"/>
    <cacheHierarchy uniqueName="[Data_Base].[AGENCE]" caption="AGENCE" attribute="1" defaultMemberUniqueName="[Data_Base].[AGENCE].[All]" allUniqueName="[Data_Base].[AGENCE].[All]" dimensionUniqueName="[Data_Base]" displayFolder="" count="2" memberValueDatatype="130" unbalanced="0"/>
    <cacheHierarchy uniqueName="[Data_Base].[WR]" caption="WR" attribute="1" defaultMemberUniqueName="[Data_Base].[WR].[All]" allUniqueName="[Data_Base].[WR].[All]" dimensionUniqueName="[Data_Base]" displayFolder="" count="0" memberValueDatatype="130" unbalanced="0"/>
    <cacheHierarchy uniqueName="[Data_Base].[ACTIVITE CLIENT]" caption="ACTIVITE CLIENT" attribute="1" defaultMemberUniqueName="[Data_Base].[ACTIVITE CLIENT].[All]" allUniqueName="[Data_Base].[ACTIVITE CLIENT].[All]" dimensionUniqueName="[Data_Base]" displayFolder="" count="0" memberValueDatatype="130" unbalanced="0"/>
    <cacheHierarchy uniqueName="[Data_Base].[N° TELEPHONE CLIENT]" caption="N° TELEPHONE CLIENT" attribute="1" defaultMemberUniqueName="[Data_Base].[N° TELEPHONE CLIENT].[All]" allUniqueName="[Data_Base].[N° TELEPHONE CLIENT].[All]" dimensionUniqueName="[Data_Base]" displayFolder="" count="0" memberValueDatatype="130" unbalanced="0"/>
    <cacheHierarchy uniqueName="[Data_Base].[ENTREPRISE]" caption="ENTREPRISE" attribute="1" defaultMemberUniqueName="[Data_Base].[ENTREPRISE].[All]" allUniqueName="[Data_Base].[ENTREPRISE].[All]" dimensionUniqueName="[Data_Base]" displayFolder="" count="0" memberValueDatatype="130" unbalanced="0"/>
    <cacheHierarchy uniqueName="[Data_Base].[CHEF EQUIPE]" caption="CHEF EQUIPE" attribute="1" defaultMemberUniqueName="[Data_Base].[CHEF EQUIPE].[All]" allUniqueName="[Data_Base].[CHEF EQUIPE].[All]" dimensionUniqueName="[Data_Base]" displayFolder="" count="0" memberValueDatatype="130" unbalanced="0"/>
    <cacheHierarchy uniqueName="[Data_Base].[EQUIPE D'INTERVENTIONS]" caption="EQUIPE D'INTERVENTIONS" attribute="1" defaultMemberUniqueName="[Data_Base].[EQUIPE D'INTERVENTIONS].[All]" allUniqueName="[Data_Base].[EQUIPE D'INTERVENTIONS].[All]" dimensionUniqueName="[Data_Base]" displayFolder="" count="0" memberValueDatatype="130" unbalanced="0"/>
    <cacheHierarchy uniqueName="[Data_Base].[DATE DE SORTIE MATERIEL]" caption="DATE DE SORTIE MATERIEL" attribute="1" time="1" defaultMemberUniqueName="[Data_Base].[DATE DE SORTIE MATERIEL].[All]" allUniqueName="[Data_Base].[DATE DE SORTIE MATERIEL].[All]" dimensionUniqueName="[Data_Base]" displayFolder="" count="0" memberValueDatatype="7" unbalanced="0"/>
    <cacheHierarchy uniqueName="[Data_Base].[MATERIEL MIS A DISPOSITION]" caption="MATERIEL MIS A DISPOSITION" attribute="1" defaultMemberUniqueName="[Data_Base].[MATERIEL MIS A DISPOSITION].[All]" allUniqueName="[Data_Base].[MATERIEL MIS A DISPOSITION].[All]" dimensionUniqueName="[Data_Base]" displayFolder="" count="0" memberValueDatatype="130" unbalanced="0"/>
    <cacheHierarchy uniqueName="[Data_Base].[N° COMPTEUR SORTI]" caption="N° COMPTEUR SORTI" attribute="1" defaultMemberUniqueName="[Data_Base].[N° COMPTEUR SORTI].[All]" allUniqueName="[Data_Base].[N° COMPTEUR SORTI].[All]" dimensionUniqueName="[Data_Base]" displayFolder="" count="0" memberValueDatatype="130" unbalanced="0"/>
    <cacheHierarchy uniqueName="[Data_Base].[DATE DES TRAVAUX]" caption="DATE DES TRAVAUX" attribute="1" time="1" defaultMemberUniqueName="[Data_Base].[DATE DES TRAVAUX].[All]" allUniqueName="[Data_Base].[DATE DES TRAVAUX].[All]" dimensionUniqueName="[Data_Base]" displayFolder="" count="0" memberValueDatatype="7" unbalanced="0"/>
    <cacheHierarchy uniqueName="[Data_Base].[COMPTEUR POSE SUR LE TERRAIN]" caption="COMPTEUR POSE SUR LE TERRAIN" attribute="1" defaultMemberUniqueName="[Data_Base].[COMPTEUR POSE SUR LE TERRAIN].[All]" allUniqueName="[Data_Base].[COMPTEUR POSE SUR LE TERRAIN].[All]" dimensionUniqueName="[Data_Base]" displayFolder="" count="0" memberValueDatatype="130" unbalanced="0"/>
    <cacheHierarchy uniqueName="[Data_Base].[TYPE DE COMPTEUR]" caption="TYPE DE COMPTEUR" attribute="1" defaultMemberUniqueName="[Data_Base].[TYPE DE COMPTEUR].[All]" allUniqueName="[Data_Base].[TYPE DE COMPTEUR].[All]" dimensionUniqueName="[Data_Base]" displayFolder="" count="0" memberValueDatatype="130" unbalanced="0"/>
    <cacheHierarchy uniqueName="[Data_Base].[CALIBRE DISJONCTEUR(A)]" caption="CALIBRE DISJONCTEUR(A)" attribute="1" defaultMemberUniqueName="[Data_Base].[CALIBRE DISJONCTEUR(A)].[All]" allUniqueName="[Data_Base].[CALIBRE DISJONCTEUR(A)].[All]" dimensionUniqueName="[Data_Base]" displayFolder="" count="0" memberValueDatatype="130" unbalanced="0"/>
    <cacheHierarchy uniqueName="[Data_Base].[INDEX DE POSE]" caption="INDEX DE POSE" attribute="1" defaultMemberUniqueName="[Data_Base].[INDEX DE POSE].[All]" allUniqueName="[Data_Base].[INDEX DE POSE].[All]" dimensionUniqueName="[Data_Base]" displayFolder="" count="0" memberValueDatatype="130" unbalanced="0"/>
    <cacheHierarchy uniqueName="[Data_Base].[RESULTAT DES TRAVAUX]" caption="RESULTAT DES TRAVAUX" attribute="1" defaultMemberUniqueName="[Data_Base].[RESULTAT DES TRAVAUX].[All]" allUniqueName="[Data_Base].[RESULTAT DES TRAVAUX].[All]" dimensionUniqueName="[Data_Base]" displayFolder="" count="0" memberValueDatatype="130" unbalanced="0"/>
    <cacheHierarchy uniqueName="[Data_Base].[STATUT CMS]" caption="STATUT CMS" attribute="1" defaultMemberUniqueName="[Data_Base].[STATUT CMS].[All]" allUniqueName="[Data_Base].[STATUT CMS].[All]" dimensionUniqueName="[Data_Base]" displayFolder="" count="0" memberValueDatatype="130" unbalanced="0"/>
    <cacheHierarchy uniqueName="[Data_Base].[OBSERVATIONS]" caption="OBSERVATIONS" attribute="1" defaultMemberUniqueName="[Data_Base].[OBSERVATIONS].[All]" allUniqueName="[Data_Base].[OBSERVATIONS].[All]" dimensionUniqueName="[Data_Base]" displayFolder="" count="0" memberValueDatatype="130" unbalanced="0"/>
    <cacheHierarchy uniqueName="[Data_Base].[RECOMMANDATIONS]" caption="RECOMMANDATIONS" attribute="1" defaultMemberUniqueName="[Data_Base].[RECOMMANDATIONS].[All]" allUniqueName="[Data_Base].[RECOMMANDATIONS].[All]" dimensionUniqueName="[Data_Base]" displayFolder="" count="0" memberValueDatatype="130" unbalanced="0"/>
    <cacheHierarchy uniqueName="[Data_Base].[B.N Total]" caption="B.N Total" attribute="1" defaultMemberUniqueName="[Data_Base].[B.N Total].[All]" allUniqueName="[Data_Base].[B.N Total].[All]" dimensionUniqueName="[Data_Base]" displayFolder="" count="0" memberValueDatatype="20" unbalanced="0"/>
    <cacheHierarchy uniqueName="[Data_Base].[Nbre Brachements exécuté]" caption="Nbre Brachements exécuté" attribute="1" defaultMemberUniqueName="[Data_Base].[Nbre Brachements exécuté].[All]" allUniqueName="[Data_Base].[Nbre Brachements exécuté].[All]" dimensionUniqueName="[Data_Base]" displayFolder="" count="0" memberValueDatatype="20" unbalanced="0"/>
    <cacheHierarchy uniqueName="[Data_Base].[Nbre branchement en Cours]" caption="Nbre branchement en Cours" attribute="1" defaultMemberUniqueName="[Data_Base].[Nbre branchement en Cours].[All]" allUniqueName="[Data_Base].[Nbre branchement en Cours].[All]" dimensionUniqueName="[Data_Base]" displayFolder="" count="0" memberValueDatatype="20" unbalanced="0"/>
    <cacheHierarchy uniqueName="[Data_Base].[Journée]" caption="Journée" attribute="1" defaultMemberUniqueName="[Data_Base].[Journée].[All]" allUniqueName="[Data_Base].[Journée].[All]" dimensionUniqueName="[Data_Base]" displayFolder="" count="2" memberValueDatatype="130" unbalanced="0">
      <fieldsUsage count="2">
        <fieldUsage x="-1"/>
        <fieldUsage x="0"/>
      </fieldsUsage>
    </cacheHierarchy>
    <cacheHierarchy uniqueName="[Data_Base].[Jours]" caption="Jours" attribute="1" defaultMemberUniqueName="[Data_Base].[Jours].[All]" allUniqueName="[Data_Base].[Jours].[All]" dimensionUniqueName="[Data_Base]" displayFolder="" count="2" memberValueDatatype="130" unbalanced="0">
      <fieldsUsage count="2">
        <fieldUsage x="-1"/>
        <fieldUsage x="3"/>
      </fieldsUsage>
    </cacheHierarchy>
    <cacheHierarchy uniqueName="[Data_Base].[Mois]" caption="Mois" attribute="1" defaultMemberUniqueName="[Data_Base].[Mois].[All]" allUniqueName="[Data_Base].[Mois].[All]" dimensionUniqueName="[Data_Base]" displayFolder="" count="2" memberValueDatatype="130" unbalanced="0"/>
    <cacheHierarchy uniqueName="[Data_Base].[Année]" caption="Année" attribute="1" defaultMemberUniqueName="[Data_Base].[Année].[All]" allUniqueName="[Data_Base].[Année].[All]" dimensionUniqueName="[Data_Base]" displayFolder="" count="2" memberValueDatatype="130" unbalanced="0"/>
    <cacheHierarchy uniqueName="[Data_Base].[DATE RECEPTION (mois)]" caption="DATE RECEPTION (mois)" attribute="1" defaultMemberUniqueName="[Data_Base].[DATE RECEPTION (mois)].[All]" allUniqueName="[Data_Base].[DATE RECEPTION (mois)].[All]" dimensionUniqueName="[Data_Base]" displayFolder="" count="0" memberValueDatatype="130" unbalanced="0"/>
    <cacheHierarchy uniqueName="[Tableau2].[DATE RECEPTION]" caption="DATE RECEPTION" attribute="1" time="1" defaultMemberUniqueName="[Tableau2].[DATE RECEPTION].[All]" allUniqueName="[Tableau2].[DATE RECEPTION].[All]" dimensionUniqueName="[Tableau2]" displayFolder="" count="0" memberValueDatatype="7" unbalanced="0"/>
    <cacheHierarchy uniqueName="[Tableau2].[NOM DU CLIENT]" caption="NOM DU CLIENT" attribute="1" defaultMemberUniqueName="[Tableau2].[NOM DU CLIENT].[All]" allUniqueName="[Tableau2].[NOM DU CLIENT].[All]" dimensionUniqueName="[Tableau2]" displayFolder="" count="0" memberValueDatatype="130" unbalanced="0"/>
    <cacheHierarchy uniqueName="[Tableau2].[AGENCE]" caption="AGENCE" attribute="1" defaultMemberUniqueName="[Tableau2].[AGENCE].[All]" allUniqueName="[Tableau2].[AGENCE].[All]" dimensionUniqueName="[Tableau2]" displayFolder="" count="0" memberValueDatatype="130" unbalanced="0"/>
    <cacheHierarchy uniqueName="[Tableau2].[WR]" caption="WR" attribute="1" defaultMemberUniqueName="[Tableau2].[WR].[All]" allUniqueName="[Tableau2].[WR].[All]" dimensionUniqueName="[Tableau2]" displayFolder="" count="0" memberValueDatatype="130" unbalanced="0"/>
    <cacheHierarchy uniqueName="[Tableau2].[ACTIVITE CLIENT]" caption="ACTIVITE CLIENT" attribute="1" defaultMemberUniqueName="[Tableau2].[ACTIVITE CLIENT].[All]" allUniqueName="[Tableau2].[ACTIVITE CLIENT].[All]" dimensionUniqueName="[Tableau2]" displayFolder="" count="0" memberValueDatatype="130" unbalanced="0"/>
    <cacheHierarchy uniqueName="[Tableau2].[N° TELEPHONE CLIENT]" caption="N° TELEPHONE CLIENT" attribute="1" defaultMemberUniqueName="[Tableau2].[N° TELEPHONE CLIENT].[All]" allUniqueName="[Tableau2].[N° TELEPHONE CLIENT].[All]" dimensionUniqueName="[Tableau2]" displayFolder="" count="0" memberValueDatatype="130" unbalanced="0"/>
    <cacheHierarchy uniqueName="[Tableau2].[ENTREPRISE]" caption="ENTREPRISE" attribute="1" defaultMemberUniqueName="[Tableau2].[ENTREPRISE].[All]" allUniqueName="[Tableau2].[ENTREPRISE].[All]" dimensionUniqueName="[Tableau2]" displayFolder="" count="0" memberValueDatatype="130" unbalanced="0"/>
    <cacheHierarchy uniqueName="[Tableau2].[CHEF EQUIPE]" caption="CHEF EQUIPE" attribute="1" defaultMemberUniqueName="[Tableau2].[CHEF EQUIPE].[All]" allUniqueName="[Tableau2].[CHEF EQUIPE].[All]" dimensionUniqueName="[Tableau2]" displayFolder="" count="0" memberValueDatatype="130" unbalanced="0"/>
    <cacheHierarchy uniqueName="[Tableau2].[EQUIPE D'INTERVENTIONS]" caption="EQUIPE D'INTERVENTIONS" attribute="1" defaultMemberUniqueName="[Tableau2].[EQUIPE D'INTERVENTIONS].[All]" allUniqueName="[Tableau2].[EQUIPE D'INTERVENTIONS].[All]" dimensionUniqueName="[Tableau2]" displayFolder="" count="0" memberValueDatatype="130" unbalanced="0"/>
    <cacheHierarchy uniqueName="[Tableau2].[DATE DE SORTIE MATERIEL]" caption="DATE DE SORTIE MATERIEL" attribute="1" time="1" defaultMemberUniqueName="[Tableau2].[DATE DE SORTIE MATERIEL].[All]" allUniqueName="[Tableau2].[DATE DE SORTIE MATERIEL].[All]" dimensionUniqueName="[Tableau2]" displayFolder="" count="0" memberValueDatatype="7" unbalanced="0"/>
    <cacheHierarchy uniqueName="[Tableau2].[MATERIEL MIS A DISPOSITION]" caption="MATERIEL MIS A DISPOSITION" attribute="1" defaultMemberUniqueName="[Tableau2].[MATERIEL MIS A DISPOSITION].[All]" allUniqueName="[Tableau2].[MATERIEL MIS A DISPOSITION].[All]" dimensionUniqueName="[Tableau2]" displayFolder="" count="0" memberValueDatatype="130" unbalanced="0"/>
    <cacheHierarchy uniqueName="[Tableau2].[N° COMPTEUR SORTI]" caption="N° COMPTEUR SORTI" attribute="1" defaultMemberUniqueName="[Tableau2].[N° COMPTEUR SORTI].[All]" allUniqueName="[Tableau2].[N° COMPTEUR SORTI].[All]" dimensionUniqueName="[Tableau2]" displayFolder="" count="0" memberValueDatatype="130" unbalanced="0"/>
    <cacheHierarchy uniqueName="[Tableau2].[DATE DES TRAVAUX]" caption="DATE DES TRAVAUX" attribute="1" time="1" defaultMemberUniqueName="[Tableau2].[DATE DES TRAVAUX].[All]" allUniqueName="[Tableau2].[DATE DES TRAVAUX].[All]" dimensionUniqueName="[Tableau2]" displayFolder="" count="0" memberValueDatatype="7" unbalanced="0"/>
    <cacheHierarchy uniqueName="[Tableau2].[COMPTEUR POSE SUR LE TERRAIN]" caption="COMPTEUR POSE SUR LE TERRAIN" attribute="1" defaultMemberUniqueName="[Tableau2].[COMPTEUR POSE SUR LE TERRAIN].[All]" allUniqueName="[Tableau2].[COMPTEUR POSE SUR LE TERRAIN].[All]" dimensionUniqueName="[Tableau2]" displayFolder="" count="0" memberValueDatatype="130" unbalanced="0"/>
    <cacheHierarchy uniqueName="[Tableau2].[TYPE DE COMPTEUR]" caption="TYPE DE COMPTEUR" attribute="1" defaultMemberUniqueName="[Tableau2].[TYPE DE COMPTEUR].[All]" allUniqueName="[Tableau2].[TYPE DE COMPTEUR].[All]" dimensionUniqueName="[Tableau2]" displayFolder="" count="0" memberValueDatatype="130" unbalanced="0"/>
    <cacheHierarchy uniqueName="[Tableau2].[CALIBRE DISJONCTEUR(A)]" caption="CALIBRE DISJONCTEUR(A)" attribute="1" defaultMemberUniqueName="[Tableau2].[CALIBRE DISJONCTEUR(A)].[All]" allUniqueName="[Tableau2].[CALIBRE DISJONCTEUR(A)].[All]" dimensionUniqueName="[Tableau2]" displayFolder="" count="0" memberValueDatatype="20" unbalanced="0"/>
    <cacheHierarchy uniqueName="[Tableau2].[INDEX DE POSE]" caption="INDEX DE POSE" attribute="1" defaultMemberUniqueName="[Tableau2].[INDEX DE POSE].[All]" allUniqueName="[Tableau2].[INDEX DE POSE].[All]" dimensionUniqueName="[Tableau2]" displayFolder="" count="0" memberValueDatatype="20" unbalanced="0"/>
    <cacheHierarchy uniqueName="[Tableau2].[RESULTAT DES TRAVAUX]" caption="RESULTAT DES TRAVAUX" attribute="1" defaultMemberUniqueName="[Tableau2].[RESULTAT DES TRAVAUX].[All]" allUniqueName="[Tableau2].[RESULTAT DES TRAVAUX].[All]" dimensionUniqueName="[Tableau2]" displayFolder="" count="0" memberValueDatatype="130" unbalanced="0"/>
    <cacheHierarchy uniqueName="[Tableau2].[STATUT CMS]" caption="STATUT CMS" attribute="1" defaultMemberUniqueName="[Tableau2].[STATUT CMS].[All]" allUniqueName="[Tableau2].[STATUT CMS].[All]" dimensionUniqueName="[Tableau2]" displayFolder="" count="0" memberValueDatatype="130" unbalanced="0"/>
    <cacheHierarchy uniqueName="[Tableau2].[OBSERVATIONS]" caption="OBSERVATIONS" attribute="1" defaultMemberUniqueName="[Tableau2].[OBSERVATIONS].[All]" allUniqueName="[Tableau2].[OBSERVATIONS].[All]" dimensionUniqueName="[Tableau2]" displayFolder="" count="0" memberValueDatatype="130" unbalanced="0"/>
    <cacheHierarchy uniqueName="[Tableau2].[RECOMMANDATIONS]" caption="RECOMMANDATIONS" attribute="1" defaultMemberUniqueName="[Tableau2].[RECOMMANDATIONS].[All]" allUniqueName="[Tableau2].[RECOMMANDATIONS].[All]" dimensionUniqueName="[Tableau2]" displayFolder="" count="0" memberValueDatatype="130" unbalanced="0"/>
    <cacheHierarchy uniqueName="[Tableau2].[B.N Total]" caption="B.N Total" attribute="1" defaultMemberUniqueName="[Tableau2].[B.N Total].[All]" allUniqueName="[Tableau2].[B.N Total].[All]" dimensionUniqueName="[Tableau2]" displayFolder="" count="0" memberValueDatatype="20" unbalanced="0"/>
    <cacheHierarchy uniqueName="[Tableau2].[Nbre Brachements exécuté]" caption="Nbre Brachements exécuté" attribute="1" defaultMemberUniqueName="[Tableau2].[Nbre Brachements exécuté].[All]" allUniqueName="[Tableau2].[Nbre Brachements exécuté].[All]" dimensionUniqueName="[Tableau2]" displayFolder="" count="0" memberValueDatatype="20" unbalanced="0"/>
    <cacheHierarchy uniqueName="[Tableau2].[Nbre branchement en Cours]" caption="Nbre branchement en Cours" attribute="1" defaultMemberUniqueName="[Tableau2].[Nbre branchement en Cours].[All]" allUniqueName="[Tableau2].[Nbre branchement en Cours].[All]" dimensionUniqueName="[Tableau2]" displayFolder="" count="0" memberValueDatatype="20" unbalanced="0"/>
    <cacheHierarchy uniqueName="[Tableau2].[Journée]" caption="Journée" attribute="1" defaultMemberUniqueName="[Tableau2].[Journée].[All]" allUniqueName="[Tableau2].[Journée].[All]" dimensionUniqueName="[Tableau2]" displayFolder="" count="0" memberValueDatatype="130" unbalanced="0"/>
    <cacheHierarchy uniqueName="[Tableau2].[Jours]" caption="Jours" attribute="1" defaultMemberUniqueName="[Tableau2].[Jours].[All]" allUniqueName="[Tableau2].[Jours].[All]" dimensionUniqueName="[Tableau2]" displayFolder="" count="0" memberValueDatatype="130" unbalanced="0"/>
    <cacheHierarchy uniqueName="[Tableau2].[Mois]" caption="Mois" attribute="1" defaultMemberUniqueName="[Tableau2].[Mois].[All]" allUniqueName="[Tableau2].[Mois].[All]" dimensionUniqueName="[Tableau2]" displayFolder="" count="0" memberValueDatatype="130" unbalanced="0"/>
    <cacheHierarchy uniqueName="[Tableau2].[Année]" caption="Année" attribute="1" defaultMemberUniqueName="[Tableau2].[Année].[All]" allUniqueName="[Tableau2].[Année].[All]" dimensionUniqueName="[Tableau2]" displayFolder="" count="0" memberValueDatatype="130" unbalanced="0"/>
    <cacheHierarchy uniqueName="[Data_Base].[DATE RECEPTION (index des mois)]" caption="DATE RECEPTION (index des mois)" attribute="1" defaultMemberUniqueName="[Data_Base].[DATE RECEPTION (index des mois)].[All]" allUniqueName="[Data_Base].[DATE RECEPTION (index des mois)].[All]" dimensionUniqueName="[Data_Base]" displayFolder="" count="0" memberValueDatatype="20" unbalanced="0" hidden="1"/>
    <cacheHierarchy uniqueName="[Measures].[__XL_Count Tableau2]" caption="__XL_Count Tableau2" measure="1" displayFolder="" measureGroup="Tableau2" count="0" hidden="1"/>
    <cacheHierarchy uniqueName="[Measures].[__XL_Count Data_Base]" caption="__XL_Count Data_Base" measure="1" displayFolder="" measureGroup="Data_Base" count="0" hidden="1"/>
    <cacheHierarchy uniqueName="[Measures].[__No measures defined]" caption="__No measures defined" measure="1" displayFolder="" count="0" hidden="1"/>
    <cacheHierarchy uniqueName="[Measures].[Nombre de WR]" caption="Nombre de WR" measure="1" displayFolder="" measureGroup="Tableau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COMPTEUR POSE SUR LE TERRAIN]" caption="Nombre de COMPTEUR POSE SUR LE TERRAIN" measure="1" displayFolder="" measureGroup="Tableau2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Nombre de STATUT CMS]" caption="Nombre de STATUT CMS" measure="1" displayFolder="" measureGroup="Tableau2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B.N Total]" caption="Sum of B.N Total" measure="1" displayFolder="" measureGroup="Tableau2" count="0" hidden="1"/>
    <cacheHierarchy uniqueName="[Measures].[Somme de Nbre branchement en Cours]" caption="Somme de Nbre branchement en Cours" measure="1" displayFolder="" measureGroup="Tableau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Nombre de COMPTEUR POSE SUR LE TERRAIN 2]" caption="Nombre de COMPTEUR POSE SUR LE TERRAIN 2" measure="1" displayFolder="" measureGroup="Data_Bas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Nombre de STATUT CMS 2]" caption="Nombre de STATUT CMS 2" measure="1" displayFolder="" measureGroup="Data_Bas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Nbre Brachements exécuté]" caption="Somme de Nbre Brachements exécuté" measure="1" displayFolder="" measureGroup="Data_Base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re branchement en Cours 2]" caption="Somme de Nbre branchement en Cours 2" measure="1" displayFolder="" measureGroup="Data_Bas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e de B.N Total]" caption="Somme de B.N Total" measure="1" displayFolder="" measureGroup="Data_Bas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dimensions count="3">
    <dimension name="Data_Base" uniqueName="[Data_Base]" caption="Data_Base"/>
    <dimension measure="1" name="Measures" uniqueName="[Measures]" caption="Measures"/>
    <dimension name="Tableau2" uniqueName="[Tableau2]" caption="Tableau2"/>
  </dimensions>
  <measureGroups count="2">
    <measureGroup name="Data_Base" caption="Data_Base"/>
    <measureGroup name="Tableau2" caption="Tableau2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AN RODRIGUE AWONO" refreshedDate="45427.20646400463" backgroundQuery="1" createdVersion="3" refreshedVersion="8" minRefreshableVersion="3" recordCount="0" supportSubquery="1" supportAdvancedDrill="1" xr:uid="{BCA6291D-C95F-4341-965C-97882AC49F2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1">
    <cacheHierarchy uniqueName="[Data_Base].[DATE RECEPTION]" caption="DATE RECEPTION" attribute="1" time="1" defaultMemberUniqueName="[Data_Base].[DATE RECEPTION].[All]" allUniqueName="[Data_Base].[DATE RECEPTION].[All]" dimensionUniqueName="[Data_Base]" displayFolder="" count="0" memberValueDatatype="7" unbalanced="0"/>
    <cacheHierarchy uniqueName="[Data_Base].[NOM DU CLIENT]" caption="NOM DU CLIENT" attribute="1" defaultMemberUniqueName="[Data_Base].[NOM DU CLIENT].[All]" allUniqueName="[Data_Base].[NOM DU CLIENT].[All]" dimensionUniqueName="[Data_Base]" displayFolder="" count="0" memberValueDatatype="130" unbalanced="0"/>
    <cacheHierarchy uniqueName="[Data_Base].[AGENCE]" caption="AGENCE" attribute="1" defaultMemberUniqueName="[Data_Base].[AGENCE].[All]" allUniqueName="[Data_Base].[AGENCE].[All]" dimensionUniqueName="[Data_Base]" displayFolder="" count="2" memberValueDatatype="130" unbalanced="0"/>
    <cacheHierarchy uniqueName="[Data_Base].[WR]" caption="WR" attribute="1" defaultMemberUniqueName="[Data_Base].[WR].[All]" allUniqueName="[Data_Base].[WR].[All]" dimensionUniqueName="[Data_Base]" displayFolder="" count="0" memberValueDatatype="130" unbalanced="0"/>
    <cacheHierarchy uniqueName="[Data_Base].[ACTIVITE CLIENT]" caption="ACTIVITE CLIENT" attribute="1" defaultMemberUniqueName="[Data_Base].[ACTIVITE CLIENT].[All]" allUniqueName="[Data_Base].[ACTIVITE CLIENT].[All]" dimensionUniqueName="[Data_Base]" displayFolder="" count="0" memberValueDatatype="130" unbalanced="0"/>
    <cacheHierarchy uniqueName="[Data_Base].[N° TELEPHONE CLIENT]" caption="N° TELEPHONE CLIENT" attribute="1" defaultMemberUniqueName="[Data_Base].[N° TELEPHONE CLIENT].[All]" allUniqueName="[Data_Base].[N° TELEPHONE CLIENT].[All]" dimensionUniqueName="[Data_Base]" displayFolder="" count="0" memberValueDatatype="130" unbalanced="0"/>
    <cacheHierarchy uniqueName="[Data_Base].[ENTREPRISE]" caption="ENTREPRISE" attribute="1" defaultMemberUniqueName="[Data_Base].[ENTREPRISE].[All]" allUniqueName="[Data_Base].[ENTREPRISE].[All]" dimensionUniqueName="[Data_Base]" displayFolder="" count="2" memberValueDatatype="130" unbalanced="0"/>
    <cacheHierarchy uniqueName="[Data_Base].[CHEF EQUIPE]" caption="CHEF EQUIPE" attribute="1" defaultMemberUniqueName="[Data_Base].[CHEF EQUIPE].[All]" allUniqueName="[Data_Base].[CHEF EQUIPE].[All]" dimensionUniqueName="[Data_Base]" displayFolder="" count="0" memberValueDatatype="130" unbalanced="0"/>
    <cacheHierarchy uniqueName="[Data_Base].[EQUIPE D'INTERVENTIONS]" caption="EQUIPE D'INTERVENTIONS" attribute="1" defaultMemberUniqueName="[Data_Base].[EQUIPE D'INTERVENTIONS].[All]" allUniqueName="[Data_Base].[EQUIPE D'INTERVENTIONS].[All]" dimensionUniqueName="[Data_Base]" displayFolder="" count="0" memberValueDatatype="130" unbalanced="0"/>
    <cacheHierarchy uniqueName="[Data_Base].[DATE DE SORTIE MATERIEL]" caption="DATE DE SORTIE MATERIEL" attribute="1" time="1" defaultMemberUniqueName="[Data_Base].[DATE DE SORTIE MATERIEL].[All]" allUniqueName="[Data_Base].[DATE DE SORTIE MATERIEL].[All]" dimensionUniqueName="[Data_Base]" displayFolder="" count="0" memberValueDatatype="7" unbalanced="0"/>
    <cacheHierarchy uniqueName="[Data_Base].[MATERIEL MIS A DISPOSITION]" caption="MATERIEL MIS A DISPOSITION" attribute="1" defaultMemberUniqueName="[Data_Base].[MATERIEL MIS A DISPOSITION].[All]" allUniqueName="[Data_Base].[MATERIEL MIS A DISPOSITION].[All]" dimensionUniqueName="[Data_Base]" displayFolder="" count="0" memberValueDatatype="130" unbalanced="0"/>
    <cacheHierarchy uniqueName="[Data_Base].[N° COMPTEUR SORTI]" caption="N° COMPTEUR SORTI" attribute="1" defaultMemberUniqueName="[Data_Base].[N° COMPTEUR SORTI].[All]" allUniqueName="[Data_Base].[N° COMPTEUR SORTI].[All]" dimensionUniqueName="[Data_Base]" displayFolder="" count="0" memberValueDatatype="130" unbalanced="0"/>
    <cacheHierarchy uniqueName="[Data_Base].[DATE DES TRAVAUX]" caption="DATE DES TRAVAUX" attribute="1" time="1" defaultMemberUniqueName="[Data_Base].[DATE DES TRAVAUX].[All]" allUniqueName="[Data_Base].[DATE DES TRAVAUX].[All]" dimensionUniqueName="[Data_Base]" displayFolder="" count="0" memberValueDatatype="7" unbalanced="0"/>
    <cacheHierarchy uniqueName="[Data_Base].[COMPTEUR POSE SUR LE TERRAIN]" caption="COMPTEUR POSE SUR LE TERRAIN" attribute="1" defaultMemberUniqueName="[Data_Base].[COMPTEUR POSE SUR LE TERRAIN].[All]" allUniqueName="[Data_Base].[COMPTEUR POSE SUR LE TERRAIN].[All]" dimensionUniqueName="[Data_Base]" displayFolder="" count="0" memberValueDatatype="130" unbalanced="0"/>
    <cacheHierarchy uniqueName="[Data_Base].[TYPE DE COMPTEUR]" caption="TYPE DE COMPTEUR" attribute="1" defaultMemberUniqueName="[Data_Base].[TYPE DE COMPTEUR].[All]" allUniqueName="[Data_Base].[TYPE DE COMPTEUR].[All]" dimensionUniqueName="[Data_Base]" displayFolder="" count="0" memberValueDatatype="130" unbalanced="0"/>
    <cacheHierarchy uniqueName="[Data_Base].[CALIBRE DISJONCTEUR(A)]" caption="CALIBRE DISJONCTEUR(A)" attribute="1" defaultMemberUniqueName="[Data_Base].[CALIBRE DISJONCTEUR(A)].[All]" allUniqueName="[Data_Base].[CALIBRE DISJONCTEUR(A)].[All]" dimensionUniqueName="[Data_Base]" displayFolder="" count="0" memberValueDatatype="130" unbalanced="0"/>
    <cacheHierarchy uniqueName="[Data_Base].[INDEX DE POSE]" caption="INDEX DE POSE" attribute="1" defaultMemberUniqueName="[Data_Base].[INDEX DE POSE].[All]" allUniqueName="[Data_Base].[INDEX DE POSE].[All]" dimensionUniqueName="[Data_Base]" displayFolder="" count="0" memberValueDatatype="130" unbalanced="0"/>
    <cacheHierarchy uniqueName="[Data_Base].[RESULTAT DES TRAVAUX]" caption="RESULTAT DES TRAVAUX" attribute="1" defaultMemberUniqueName="[Data_Base].[RESULTAT DES TRAVAUX].[All]" allUniqueName="[Data_Base].[RESULTAT DES TRAVAUX].[All]" dimensionUniqueName="[Data_Base]" displayFolder="" count="0" memberValueDatatype="130" unbalanced="0"/>
    <cacheHierarchy uniqueName="[Data_Base].[STATUT CMS]" caption="STATUT CMS" attribute="1" defaultMemberUniqueName="[Data_Base].[STATUT CMS].[All]" allUniqueName="[Data_Base].[STATUT CMS].[All]" dimensionUniqueName="[Data_Base]" displayFolder="" count="0" memberValueDatatype="130" unbalanced="0"/>
    <cacheHierarchy uniqueName="[Data_Base].[OBSERVATIONS]" caption="OBSERVATIONS" attribute="1" defaultMemberUniqueName="[Data_Base].[OBSERVATIONS].[All]" allUniqueName="[Data_Base].[OBSERVATIONS].[All]" dimensionUniqueName="[Data_Base]" displayFolder="" count="0" memberValueDatatype="130" unbalanced="0"/>
    <cacheHierarchy uniqueName="[Data_Base].[RECOMMANDATIONS]" caption="RECOMMANDATIONS" attribute="1" defaultMemberUniqueName="[Data_Base].[RECOMMANDATIONS].[All]" allUniqueName="[Data_Base].[RECOMMANDATIONS].[All]" dimensionUniqueName="[Data_Base]" displayFolder="" count="0" memberValueDatatype="130" unbalanced="0"/>
    <cacheHierarchy uniqueName="[Data_Base].[B.N Total]" caption="B.N Total" attribute="1" defaultMemberUniqueName="[Data_Base].[B.N Total].[All]" allUniqueName="[Data_Base].[B.N Total].[All]" dimensionUniqueName="[Data_Base]" displayFolder="" count="0" memberValueDatatype="20" unbalanced="0"/>
    <cacheHierarchy uniqueName="[Data_Base].[Nbre Brachements exécuté]" caption="Nbre Brachements exécuté" attribute="1" defaultMemberUniqueName="[Data_Base].[Nbre Brachements exécuté].[All]" allUniqueName="[Data_Base].[Nbre Brachements exécuté].[All]" dimensionUniqueName="[Data_Base]" displayFolder="" count="0" memberValueDatatype="20" unbalanced="0"/>
    <cacheHierarchy uniqueName="[Data_Base].[Nbre branchement en Cours]" caption="Nbre branchement en Cours" attribute="1" defaultMemberUniqueName="[Data_Base].[Nbre branchement en Cours].[All]" allUniqueName="[Data_Base].[Nbre branchement en Cours].[All]" dimensionUniqueName="[Data_Base]" displayFolder="" count="0" memberValueDatatype="20" unbalanced="0"/>
    <cacheHierarchy uniqueName="[Data_Base].[Journée]" caption="Journée" attribute="1" defaultMemberUniqueName="[Data_Base].[Journée].[All]" allUniqueName="[Data_Base].[Journée].[All]" dimensionUniqueName="[Data_Base]" displayFolder="" count="0" memberValueDatatype="130" unbalanced="0"/>
    <cacheHierarchy uniqueName="[Data_Base].[Jours]" caption="Jours" attribute="1" defaultMemberUniqueName="[Data_Base].[Jours].[All]" allUniqueName="[Data_Base].[Jours].[All]" dimensionUniqueName="[Data_Base]" displayFolder="" count="2" memberValueDatatype="130" unbalanced="0"/>
    <cacheHierarchy uniqueName="[Data_Base].[Mois]" caption="Mois" attribute="1" defaultMemberUniqueName="[Data_Base].[Mois].[All]" allUniqueName="[Data_Base].[Mois].[All]" dimensionUniqueName="[Data_Base]" displayFolder="" count="2" memberValueDatatype="130" unbalanced="0"/>
    <cacheHierarchy uniqueName="[Data_Base].[Année]" caption="Année" attribute="1" defaultMemberUniqueName="[Data_Base].[Année].[All]" allUniqueName="[Data_Base].[Année].[All]" dimensionUniqueName="[Data_Base]" displayFolder="" count="2" memberValueDatatype="130" unbalanced="0"/>
    <cacheHierarchy uniqueName="[Data_Base].[DATE RECEPTION (mois)]" caption="DATE RECEPTION (mois)" attribute="1" defaultMemberUniqueName="[Data_Base].[DATE RECEPTION (mois)].[All]" allUniqueName="[Data_Base].[DATE RECEPTION (mois)].[All]" dimensionUniqueName="[Data_Base]" displayFolder="" count="0" memberValueDatatype="130" unbalanced="0"/>
    <cacheHierarchy uniqueName="[Tableau2].[DATE RECEPTION]" caption="DATE RECEPTION" attribute="1" time="1" defaultMemberUniqueName="[Tableau2].[DATE RECEPTION].[All]" allUniqueName="[Tableau2].[DATE RECEPTION].[All]" dimensionUniqueName="[Tableau2]" displayFolder="" count="0" memberValueDatatype="7" unbalanced="0"/>
    <cacheHierarchy uniqueName="[Tableau2].[NOM DU CLIENT]" caption="NOM DU CLIENT" attribute="1" defaultMemberUniqueName="[Tableau2].[NOM DU CLIENT].[All]" allUniqueName="[Tableau2].[NOM DU CLIENT].[All]" dimensionUniqueName="[Tableau2]" displayFolder="" count="0" memberValueDatatype="130" unbalanced="0"/>
    <cacheHierarchy uniqueName="[Tableau2].[AGENCE]" caption="AGENCE" attribute="1" defaultMemberUniqueName="[Tableau2].[AGENCE].[All]" allUniqueName="[Tableau2].[AGENCE].[All]" dimensionUniqueName="[Tableau2]" displayFolder="" count="0" memberValueDatatype="130" unbalanced="0"/>
    <cacheHierarchy uniqueName="[Tableau2].[WR]" caption="WR" attribute="1" defaultMemberUniqueName="[Tableau2].[WR].[All]" allUniqueName="[Tableau2].[WR].[All]" dimensionUniqueName="[Tableau2]" displayFolder="" count="0" memberValueDatatype="130" unbalanced="0"/>
    <cacheHierarchy uniqueName="[Tableau2].[ACTIVITE CLIENT]" caption="ACTIVITE CLIENT" attribute="1" defaultMemberUniqueName="[Tableau2].[ACTIVITE CLIENT].[All]" allUniqueName="[Tableau2].[ACTIVITE CLIENT].[All]" dimensionUniqueName="[Tableau2]" displayFolder="" count="0" memberValueDatatype="130" unbalanced="0"/>
    <cacheHierarchy uniqueName="[Tableau2].[N° TELEPHONE CLIENT]" caption="N° TELEPHONE CLIENT" attribute="1" defaultMemberUniqueName="[Tableau2].[N° TELEPHONE CLIENT].[All]" allUniqueName="[Tableau2].[N° TELEPHONE CLIENT].[All]" dimensionUniqueName="[Tableau2]" displayFolder="" count="0" memberValueDatatype="130" unbalanced="0"/>
    <cacheHierarchy uniqueName="[Tableau2].[ENTREPRISE]" caption="ENTREPRISE" attribute="1" defaultMemberUniqueName="[Tableau2].[ENTREPRISE].[All]" allUniqueName="[Tableau2].[ENTREPRISE].[All]" dimensionUniqueName="[Tableau2]" displayFolder="" count="0" memberValueDatatype="130" unbalanced="0"/>
    <cacheHierarchy uniqueName="[Tableau2].[CHEF EQUIPE]" caption="CHEF EQUIPE" attribute="1" defaultMemberUniqueName="[Tableau2].[CHEF EQUIPE].[All]" allUniqueName="[Tableau2].[CHEF EQUIPE].[All]" dimensionUniqueName="[Tableau2]" displayFolder="" count="0" memberValueDatatype="130" unbalanced="0"/>
    <cacheHierarchy uniqueName="[Tableau2].[EQUIPE D'INTERVENTIONS]" caption="EQUIPE D'INTERVENTIONS" attribute="1" defaultMemberUniqueName="[Tableau2].[EQUIPE D'INTERVENTIONS].[All]" allUniqueName="[Tableau2].[EQUIPE D'INTERVENTIONS].[All]" dimensionUniqueName="[Tableau2]" displayFolder="" count="0" memberValueDatatype="130" unbalanced="0"/>
    <cacheHierarchy uniqueName="[Tableau2].[DATE DE SORTIE MATERIEL]" caption="DATE DE SORTIE MATERIEL" attribute="1" time="1" defaultMemberUniqueName="[Tableau2].[DATE DE SORTIE MATERIEL].[All]" allUniqueName="[Tableau2].[DATE DE SORTIE MATERIEL].[All]" dimensionUniqueName="[Tableau2]" displayFolder="" count="0" memberValueDatatype="7" unbalanced="0"/>
    <cacheHierarchy uniqueName="[Tableau2].[MATERIEL MIS A DISPOSITION]" caption="MATERIEL MIS A DISPOSITION" attribute="1" defaultMemberUniqueName="[Tableau2].[MATERIEL MIS A DISPOSITION].[All]" allUniqueName="[Tableau2].[MATERIEL MIS A DISPOSITION].[All]" dimensionUniqueName="[Tableau2]" displayFolder="" count="0" memberValueDatatype="130" unbalanced="0"/>
    <cacheHierarchy uniqueName="[Tableau2].[N° COMPTEUR SORTI]" caption="N° COMPTEUR SORTI" attribute="1" defaultMemberUniqueName="[Tableau2].[N° COMPTEUR SORTI].[All]" allUniqueName="[Tableau2].[N° COMPTEUR SORTI].[All]" dimensionUniqueName="[Tableau2]" displayFolder="" count="0" memberValueDatatype="130" unbalanced="0"/>
    <cacheHierarchy uniqueName="[Tableau2].[DATE DES TRAVAUX]" caption="DATE DES TRAVAUX" attribute="1" time="1" defaultMemberUniqueName="[Tableau2].[DATE DES TRAVAUX].[All]" allUniqueName="[Tableau2].[DATE DES TRAVAUX].[All]" dimensionUniqueName="[Tableau2]" displayFolder="" count="0" memberValueDatatype="7" unbalanced="0"/>
    <cacheHierarchy uniqueName="[Tableau2].[COMPTEUR POSE SUR LE TERRAIN]" caption="COMPTEUR POSE SUR LE TERRAIN" attribute="1" defaultMemberUniqueName="[Tableau2].[COMPTEUR POSE SUR LE TERRAIN].[All]" allUniqueName="[Tableau2].[COMPTEUR POSE SUR LE TERRAIN].[All]" dimensionUniqueName="[Tableau2]" displayFolder="" count="0" memberValueDatatype="130" unbalanced="0"/>
    <cacheHierarchy uniqueName="[Tableau2].[TYPE DE COMPTEUR]" caption="TYPE DE COMPTEUR" attribute="1" defaultMemberUniqueName="[Tableau2].[TYPE DE COMPTEUR].[All]" allUniqueName="[Tableau2].[TYPE DE COMPTEUR].[All]" dimensionUniqueName="[Tableau2]" displayFolder="" count="0" memberValueDatatype="130" unbalanced="0"/>
    <cacheHierarchy uniqueName="[Tableau2].[CALIBRE DISJONCTEUR(A)]" caption="CALIBRE DISJONCTEUR(A)" attribute="1" defaultMemberUniqueName="[Tableau2].[CALIBRE DISJONCTEUR(A)].[All]" allUniqueName="[Tableau2].[CALIBRE DISJONCTEUR(A)].[All]" dimensionUniqueName="[Tableau2]" displayFolder="" count="0" memberValueDatatype="20" unbalanced="0"/>
    <cacheHierarchy uniqueName="[Tableau2].[INDEX DE POSE]" caption="INDEX DE POSE" attribute="1" defaultMemberUniqueName="[Tableau2].[INDEX DE POSE].[All]" allUniqueName="[Tableau2].[INDEX DE POSE].[All]" dimensionUniqueName="[Tableau2]" displayFolder="" count="0" memberValueDatatype="20" unbalanced="0"/>
    <cacheHierarchy uniqueName="[Tableau2].[RESULTAT DES TRAVAUX]" caption="RESULTAT DES TRAVAUX" attribute="1" defaultMemberUniqueName="[Tableau2].[RESULTAT DES TRAVAUX].[All]" allUniqueName="[Tableau2].[RESULTAT DES TRAVAUX].[All]" dimensionUniqueName="[Tableau2]" displayFolder="" count="0" memberValueDatatype="130" unbalanced="0"/>
    <cacheHierarchy uniqueName="[Tableau2].[STATUT CMS]" caption="STATUT CMS" attribute="1" defaultMemberUniqueName="[Tableau2].[STATUT CMS].[All]" allUniqueName="[Tableau2].[STATUT CMS].[All]" dimensionUniqueName="[Tableau2]" displayFolder="" count="0" memberValueDatatype="130" unbalanced="0"/>
    <cacheHierarchy uniqueName="[Tableau2].[OBSERVATIONS]" caption="OBSERVATIONS" attribute="1" defaultMemberUniqueName="[Tableau2].[OBSERVATIONS].[All]" allUniqueName="[Tableau2].[OBSERVATIONS].[All]" dimensionUniqueName="[Tableau2]" displayFolder="" count="0" memberValueDatatype="130" unbalanced="0"/>
    <cacheHierarchy uniqueName="[Tableau2].[RECOMMANDATIONS]" caption="RECOMMANDATIONS" attribute="1" defaultMemberUniqueName="[Tableau2].[RECOMMANDATIONS].[All]" allUniqueName="[Tableau2].[RECOMMANDATIONS].[All]" dimensionUniqueName="[Tableau2]" displayFolder="" count="0" memberValueDatatype="130" unbalanced="0"/>
    <cacheHierarchy uniqueName="[Tableau2].[B.N Total]" caption="B.N Total" attribute="1" defaultMemberUniqueName="[Tableau2].[B.N Total].[All]" allUniqueName="[Tableau2].[B.N Total].[All]" dimensionUniqueName="[Tableau2]" displayFolder="" count="0" memberValueDatatype="20" unbalanced="0"/>
    <cacheHierarchy uniqueName="[Tableau2].[Nbre Brachements exécuté]" caption="Nbre Brachements exécuté" attribute="1" defaultMemberUniqueName="[Tableau2].[Nbre Brachements exécuté].[All]" allUniqueName="[Tableau2].[Nbre Brachements exécuté].[All]" dimensionUniqueName="[Tableau2]" displayFolder="" count="0" memberValueDatatype="20" unbalanced="0"/>
    <cacheHierarchy uniqueName="[Tableau2].[Nbre branchement en Cours]" caption="Nbre branchement en Cours" attribute="1" defaultMemberUniqueName="[Tableau2].[Nbre branchement en Cours].[All]" allUniqueName="[Tableau2].[Nbre branchement en Cours].[All]" dimensionUniqueName="[Tableau2]" displayFolder="" count="0" memberValueDatatype="20" unbalanced="0"/>
    <cacheHierarchy uniqueName="[Tableau2].[Journée]" caption="Journée" attribute="1" defaultMemberUniqueName="[Tableau2].[Journée].[All]" allUniqueName="[Tableau2].[Journée].[All]" dimensionUniqueName="[Tableau2]" displayFolder="" count="0" memberValueDatatype="130" unbalanced="0"/>
    <cacheHierarchy uniqueName="[Tableau2].[Jours]" caption="Jours" attribute="1" defaultMemberUniqueName="[Tableau2].[Jours].[All]" allUniqueName="[Tableau2].[Jours].[All]" dimensionUniqueName="[Tableau2]" displayFolder="" count="0" memberValueDatatype="130" unbalanced="0"/>
    <cacheHierarchy uniqueName="[Tableau2].[Mois]" caption="Mois" attribute="1" defaultMemberUniqueName="[Tableau2].[Mois].[All]" allUniqueName="[Tableau2].[Mois].[All]" dimensionUniqueName="[Tableau2]" displayFolder="" count="0" memberValueDatatype="130" unbalanced="0"/>
    <cacheHierarchy uniqueName="[Tableau2].[Année]" caption="Année" attribute="1" defaultMemberUniqueName="[Tableau2].[Année].[All]" allUniqueName="[Tableau2].[Année].[All]" dimensionUniqueName="[Tableau2]" displayFolder="" count="0" memberValueDatatype="130" unbalanced="0"/>
    <cacheHierarchy uniqueName="[Data_Base].[DATE RECEPTION (index des mois)]" caption="DATE RECEPTION (index des mois)" attribute="1" defaultMemberUniqueName="[Data_Base].[DATE RECEPTION (index des mois)].[All]" allUniqueName="[Data_Base].[DATE RECEPTION (index des mois)].[All]" dimensionUniqueName="[Data_Base]" displayFolder="" count="0" memberValueDatatype="20" unbalanced="0" hidden="1"/>
    <cacheHierarchy uniqueName="[Measures].[__XL_Count Tableau2]" caption="__XL_Count Tableau2" measure="1" displayFolder="" measureGroup="Tableau2" count="0" hidden="1"/>
    <cacheHierarchy uniqueName="[Measures].[__XL_Count Data_Base]" caption="__XL_Count Data_Base" measure="1" displayFolder="" measureGroup="Data_Base" count="0" hidden="1"/>
    <cacheHierarchy uniqueName="[Measures].[__No measures defined]" caption="__No measures defined" measure="1" displayFolder="" count="0" hidden="1"/>
    <cacheHierarchy uniqueName="[Measures].[Nombre de WR]" caption="Nombre de WR" measure="1" displayFolder="" measureGroup="Tableau2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Nombre de COMPTEUR POSE SUR LE TERRAIN]" caption="Nombre de COMPTEUR POSE SUR LE TERRAIN" measure="1" displayFolder="" measureGroup="Tableau2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Nombre de STATUT CMS]" caption="Nombre de STATUT CMS" measure="1" displayFolder="" measureGroup="Tableau2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um of B.N Total]" caption="Sum of B.N Total" measure="1" displayFolder="" measureGroup="Tableau2" count="0" hidden="1"/>
    <cacheHierarchy uniqueName="[Measures].[Somme de Nbre branchement en Cours]" caption="Somme de Nbre branchement en Cours" measure="1" displayFolder="" measureGroup="Tableau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Nombre de COMPTEUR POSE SUR LE TERRAIN 2]" caption="Nombre de COMPTEUR POSE SUR LE TERRAIN 2" measure="1" displayFolder="" measureGroup="Data_Base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Nombre de STATUT CMS 2]" caption="Nombre de STATUT CMS 2" measure="1" displayFolder="" measureGroup="Data_Base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me de Nbre Brachements exécuté]" caption="Somme de Nbre Brachements exécuté" measure="1" displayFolder="" measureGroup="Data_Base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re branchement en Cours 2]" caption="Somme de Nbre branchement en Cours 2" measure="1" displayFolder="" measureGroup="Data_Bas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omme de B.N Total]" caption="Somme de B.N Total" measure="1" displayFolder="" measureGroup="Data_Bas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854245834"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2A4B27-6706-45D9-89D4-9E1B637B6575}" name="Tableau croisé dynamique2" cacheId="57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6" indent="0" multipleFieldFilters="0" chartFormat="3">
  <location ref="E12:G18" firstHeaderRow="0" firstDataRow="1" firstDataCol="1"/>
  <pivotFields count="4">
    <pivotField axis="axisRow" allDrilled="1" showAll="0" sortType="ascending" defaultAttributeDrillState="1">
      <items count="6">
        <item x="1"/>
        <item x="2"/>
        <item x="3"/>
        <item x="0"/>
        <item x="4"/>
        <item t="default"/>
      </items>
    </pivotField>
    <pivotField dataField="1" showAll="0"/>
    <pivotField dataField="1" showAll="0"/>
    <pivotField allDrilled="1" showAll="0" dataSourceSort="1" defaultAttributeDrillState="1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Branchements Exécuté" fld="2" subtotal="count" baseField="0" baseItem="0"/>
    <dataField name="Prise en Charge dans CMS" fld="1" subtotal="count" baseField="0" baseItem="0"/>
  </dataFields>
  <chartFormats count="2">
    <chartFormat chart="2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71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Row="0" dragToCol="0" dragToPage="0" dragToData="1"/>
    <pivotHierarchy dragToData="1"/>
    <pivotHierarchy dragToData="1" caption="Branchements Exécuté"/>
    <pivotHierarchy dragToData="1" caption="Prise en Charge dans CMS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 BASE SUIVI BRANCHEMENTS NEUFS_2.xlsm!Data_Base">
        <x15:activeTabTopLevelEntity name="[Data_Bas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8CAC19-3672-4B72-88F1-F9CEBC889101}" name="Tableau croisé dynamique1" cacheId="54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6" indent="0" multipleFieldFilters="0" chartFormat="5" rowHeaderCaption="Agences">
  <location ref="A11:C15" firstHeaderRow="0" firstDataRow="1" firstDataCol="1"/>
  <pivotFields count="4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allDrilled="1" showAll="0" dataSourceSort="1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OMPTEURS POSES" fld="1" subtotal="count" baseField="0" baseItem="0"/>
    <dataField name="PRISE EN CHARGE CMS" fld="2" subtotal="count" baseField="0" baseItem="0"/>
  </dataFields>
  <chartFormats count="2">
    <chartFormat chart="2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71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Row="0" dragToCol="0" dragToPage="0" dragToData="1"/>
    <pivotHierarchy dragToData="1"/>
    <pivotHierarchy dragToData="1" caption="COMPTEURS POSES"/>
    <pivotHierarchy dragToData="1" caption="PRISE EN CHARGE CMS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 BASE SUIVI BRANCHEMENTS NEUFS_2.xlsm!Data_Base">
        <x15:activeTabTopLevelEntity name="[Data_Bas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DCC78-70EE-4FCE-B4EB-E46F9A6862BD}" name="Tableau croisé dynamique4" cacheId="51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6" indent="0" multipleFieldFilters="0" chartFormat="3">
  <location ref="A2:D6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allDrilled="1" showAll="0" dataSourceSort="1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rachements exécutés" fld="1" baseField="0" baseItem="0"/>
    <dataField name="Branchement en Cours" fld="2" baseField="0" baseItem="0"/>
    <dataField name="B.N Total" fld="3" baseField="0" baseItem="0"/>
  </dataFields>
  <formats count="3">
    <format dxfId="5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</formats>
  <chartFormats count="3">
    <chartFormat chart="2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71"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Row="0" dragToCol="0" dragToPage="0" dragToData="1"/>
    <pivotHierarchy dragToData="1"/>
    <pivotHierarchy dragToData="1"/>
    <pivotHierarchy dragToData="1"/>
    <pivotHierarchy dragToData="1" caption="Brachements exécutés"/>
    <pivotHierarchy dragToData="1" caption="Branchement en Cours"/>
    <pivotHierarchy dragToData="1" caption="B.N Total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 BASE SUIVI BRANCHEMENTS NEUFS_2.xlsm!Data_Base">
        <x15:activeTabTopLevelEntity name="[Data_Bas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nnée" xr10:uid="{8BAD4E19-1064-486A-A1E1-69E1B6FE7744}" sourceName="[Data_Base].[Année]">
  <pivotTables>
    <pivotTable tabId="9" name="Tableau croisé dynamique1"/>
    <pivotTable tabId="9" name="Tableau croisé dynamique2"/>
    <pivotTable tabId="9" name="Tableau croisé dynamique4"/>
  </pivotTables>
  <data>
    <olap pivotCacheId="854245834">
      <levels count="2">
        <level uniqueName="[Data_Base].[Année].[(All)]" sourceCaption="(All)" count="0"/>
        <level uniqueName="[Data_Base].[Année].[Année]" sourceCaption="Année" count="1">
          <ranges>
            <range startItem="0">
              <i n="[Data_Base].[Année].&amp;[2024]" c="2024"/>
            </range>
          </ranges>
        </level>
      </levels>
      <selections count="1">
        <selection n="[Data_Base].[Anné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ta_Base].[Année].[Année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1" xr10:uid="{B8C8372A-A4C5-4A86-9764-BCD163D4727E}" sourceName="[Data_Base].[Mois]">
  <pivotTables>
    <pivotTable tabId="9" name="Tableau croisé dynamique1"/>
    <pivotTable tabId="9" name="Tableau croisé dynamique2"/>
    <pivotTable tabId="9" name="Tableau croisé dynamique4"/>
  </pivotTables>
  <data>
    <olap pivotCacheId="854245834">
      <levels count="2">
        <level uniqueName="[Data_Base].[Mois].[(All)]" sourceCaption="(All)" count="0"/>
        <level uniqueName="[Data_Base].[Mois].[Mois]" sourceCaption="Mois" count="4">
          <ranges>
            <range startItem="0">
              <i n="[Data_Base].[Mois].&amp;[01]" c="01"/>
              <i n="[Data_Base].[Mois].&amp;[03]" c="03"/>
              <i n="[Data_Base].[Mois].&amp;[04]" c="04"/>
              <i n="[Data_Base].[Mois].&amp;[05]" c="05"/>
            </range>
          </ranges>
        </level>
      </levels>
      <selections count="1">
        <selection n="[Data_Base].[Moi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ta_Base].[Mois].[Mois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NCE1" xr10:uid="{1FFD2DA7-4752-457F-B233-FBBE594E4A76}" sourceName="[Data_Base].[AGENCE]">
  <pivotTables>
    <pivotTable tabId="9" name="Tableau croisé dynamique4"/>
    <pivotTable tabId="9" name="Tableau croisé dynamique1"/>
    <pivotTable tabId="9" name="Tableau croisé dynamique2"/>
  </pivotTables>
  <data>
    <olap pivotCacheId="854245834">
      <levels count="2">
        <level uniqueName="[Data_Base].[AGENCE].[(All)]" sourceCaption="(All)" count="0"/>
        <level uniqueName="[Data_Base].[AGENCE].[AGENCE]" sourceCaption="AGENCE" count="3">
          <ranges>
            <range startItem="0">
              <i n="[Data_Base].[AGENCE].&amp;[AKWA]" c="AKWA"/>
              <i n="[Data_Base].[AGENCE].&amp;[KOUMASSI]" c="KOUMASSI"/>
              <i n="[Data_Base].[AGENCE].&amp;[NEWBELL]" c="NEWBELL"/>
            </range>
          </ranges>
        </level>
      </levels>
      <selections count="1">
        <selection n="[Data_Base].[AGENC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ta_Base].[AGENCE].[AGENCE]" count="0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Jours1" xr10:uid="{023FB23E-AF7A-46AF-A8D5-59F0CBF91529}" sourceName="[Data_Base].[Jours]">
  <pivotTables>
    <pivotTable tabId="9" name="Tableau croisé dynamique4"/>
    <pivotTable tabId="9" name="Tableau croisé dynamique1"/>
    <pivotTable tabId="9" name="Tableau croisé dynamique2"/>
  </pivotTables>
  <data>
    <olap pivotCacheId="854245834">
      <levels count="2">
        <level uniqueName="[Data_Base].[Jours].[(All)]" sourceCaption="(All)" count="0"/>
        <level uniqueName="[Data_Base].[Jours].[Jours]" sourceCaption="Jours" count="25">
          <ranges>
            <range startItem="0">
              <i n="[Data_Base].[Jours].&amp;[01]" c="01"/>
              <i n="[Data_Base].[Jours].&amp;[02]" c="02"/>
              <i n="[Data_Base].[Jours].&amp;[03]" c="03"/>
              <i n="[Data_Base].[Jours].&amp;[04]" c="04"/>
              <i n="[Data_Base].[Jours].&amp;[05]" c="05"/>
              <i n="[Data_Base].[Jours].&amp;[06]" c="06"/>
              <i n="[Data_Base].[Jours].&amp;[07]" c="07"/>
              <i n="[Data_Base].[Jours].&amp;[08]" c="08"/>
              <i n="[Data_Base].[Jours].&amp;[09]" c="09"/>
              <i n="[Data_Base].[Jours].&amp;[10]" c="10"/>
              <i n="[Data_Base].[Jours].&amp;[11]" c="11"/>
              <i n="[Data_Base].[Jours].&amp;[12]" c="12"/>
              <i n="[Data_Base].[Jours].&amp;[13]" c="13"/>
              <i n="[Data_Base].[Jours].&amp;[15]" c="15"/>
              <i n="[Data_Base].[Jours].&amp;[16]" c="16"/>
              <i n="[Data_Base].[Jours].&amp;[17]" c="17"/>
              <i n="[Data_Base].[Jours].&amp;[18]" c="18"/>
              <i n="[Data_Base].[Jours].&amp;[20]" c="20"/>
              <i n="[Data_Base].[Jours].&amp;[22]" c="22"/>
              <i n="[Data_Base].[Jours].&amp;[23]" c="23"/>
              <i n="[Data_Base].[Jours].&amp;[24]" c="24"/>
              <i n="[Data_Base].[Jours].&amp;[25]" c="25"/>
              <i n="[Data_Base].[Jours].&amp;[26]" c="26"/>
              <i n="[Data_Base].[Jours].&amp;[29]" c="29"/>
              <i n="[Data_Base].[Jours].&amp;[30]" c="30"/>
            </range>
          </ranges>
        </level>
      </levels>
      <selections count="1">
        <selection n="[Data_Base].[Jour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ta_Base].[Jours].[Jours]" count="0"/>
      </x15:slicerCacheHideItemsWithNoData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TREPRISE" xr10:uid="{14040241-B619-4CAE-8086-5715802D96B4}" sourceName="[Data_Base].[ENTREPRISE]">
  <pivotTables>
    <pivotTable tabId="9" name="Tableau croisé dynamique4"/>
  </pivotTables>
  <data>
    <olap pivotCacheId="854245834">
      <levels count="2">
        <level uniqueName="[Data_Base].[ENTREPRISE].[(All)]" sourceCaption="(All)" count="0"/>
        <level uniqueName="[Data_Base].[ENTREPRISE].[ENTREPRISE]" sourceCaption="ENTREPRISE" count="3">
          <ranges>
            <range startItem="0">
              <i n="[Data_Base].[ENTREPRISE].&amp;" c="(blank)"/>
              <i n="[Data_Base].[ENTREPRISE].&amp;[EUROPE AFRIQUE]" c="EUROPE AFRIQUE"/>
              <i n="[Data_Base].[ENTREPRISE].&amp;[SATTECH]" c="SATTECH"/>
            </range>
          </ranges>
        </level>
      </levels>
      <selections count="1">
        <selection n="[Data_Base].[ENTREPRISE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Data_Base].[ENTREPRISE].[ENTREPRISE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née 1" xr10:uid="{6CD35819-322C-44AE-B3A8-547F263C9B44}" cache="Segment_Année" caption="Année/Year's" columnCount="2" level="1" style="SlicerStyleOther1" lockedPosition="1" rowHeight="241300"/>
  <slicer name="Mois/Month's 1" xr10:uid="{06A27413-3F4D-440A-9D23-F44441FDC03F}" cache="Segment_Mois1" caption="Mois/Month's" columnCount="6" level="1" style="SlicerStyleOther1" lockedPosition="1" rowHeight="241300"/>
  <slicer name="AGENCE" xr10:uid="{BB274527-9C7A-4DEE-A888-17B816B24D53}" cache="Segment_AGENCE1" caption="Agence/Branch's" level="1" style="SlicerStyleOther1" lockedPosition="1" rowHeight="241300"/>
  <slicer name="Jours " xr10:uid="{04D35032-5950-4220-82AE-E80B156A821B}" cache="Segment_Jours1" caption="Jours/Day's" columnCount="5" level="1" style="SlicerStyleOther1" lockedPosition="1" rowHeight="241300"/>
  <slicer name="ENTREPRISE" xr10:uid="{1DDED57F-B23D-4FAA-9CD8-23D4CE01DE0E}" cache="Segment_ENTREPRISE" caption="Entreprise/Team" level="1" style="SlicerStyleOther1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D3610A-6773-401F-961B-E4E39F74CDE4}" name="Tableau33" displayName="Tableau33" ref="F2:I5" totalsRowCount="1" tableBorderDxfId="53">
  <autoFilter ref="F2:I4" xr:uid="{2E917FDE-C0F6-4668-BE6F-CCEBAAEAB248}"/>
  <tableColumns count="4">
    <tableColumn id="1" xr3:uid="{F83F3ACC-E691-4D93-BA3C-AED95BE3168E}" name="Récapitulatifs"/>
    <tableColumn id="2" xr3:uid="{6F626781-2490-49F2-ABFB-5AE211788085}" name="BR exécuté" totalsRowDxfId="52">
      <calculatedColumnFormula>GETPIVOTDATA("[Measures].[Nombre de COMPTEUR POSE SUR LE TERRAIN]",$A$2)</calculatedColumnFormula>
    </tableColumn>
    <tableColumn id="3" xr3:uid="{B88EACB7-0E83-4003-8A10-1A3F21E5B0D9}" name="BR Total" dataDxfId="51" totalsRowDxfId="50">
      <calculatedColumnFormula>GETPIVOTDATA("Branchement Total",$A$2)</calculatedColumnFormula>
    </tableColumn>
    <tableColumn id="4" xr3:uid="{630B8D8B-EBB1-497C-8C1A-0194DC9ADAE9}" name="Instances" dataDxfId="49" totalsRowDxfId="48">
      <calculatedColumnFormula>H3-G3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E9746-A229-44BD-B95F-109237EED50D}" name="Data_Base" displayName="Data_Base" ref="A1:AB562" totalsRowShown="0" headerRowDxfId="47" dataDxfId="46">
  <autoFilter ref="A1:AB562" xr:uid="{03533815-CA25-4345-8707-BD835E17215D}"/>
  <tableColumns count="28">
    <tableColumn id="1" xr3:uid="{90407D79-731D-49D9-A948-5591CA4E0E52}" name="DATE RECEPTION" dataDxfId="45"/>
    <tableColumn id="2" xr3:uid="{07EE9F56-C83C-4AC2-B534-71C73209451B}" name="NOM DU CLIENT" dataDxfId="44"/>
    <tableColumn id="3" xr3:uid="{959ED57B-6CDF-4FE1-9984-45E062EC6A7F}" name="AGENCE" dataDxfId="43"/>
    <tableColumn id="4" xr3:uid="{ED639725-133D-4418-B964-86D235E01C79}" name="WR" dataDxfId="42"/>
    <tableColumn id="5" xr3:uid="{B0146D22-DA5F-4496-BD08-1B0F7093FC3E}" name="ACTIVITE CLIENT" dataDxfId="41"/>
    <tableColumn id="6" xr3:uid="{D40C9A70-46BE-488B-9026-348DB9B12332}" name="N° TELEPHONE CLIENT" dataDxfId="40"/>
    <tableColumn id="8" xr3:uid="{81671846-514D-4AFC-AA75-34DBA4252505}" name="ENTREPRISE" dataDxfId="39"/>
    <tableColumn id="9" xr3:uid="{7F5B7198-D6AC-4DCD-82AA-0228D30BB1BF}" name="CHEF EQUIPE" dataDxfId="38"/>
    <tableColumn id="10" xr3:uid="{3D137151-642F-4307-B008-637C7D3E7570}" name="EQUIPE D'INTERVENTIONS" dataDxfId="37"/>
    <tableColumn id="12" xr3:uid="{7B185706-B6DC-46FC-B67A-64CE530D0A08}" name="DATE DE SORTIE MATERIEL" dataDxfId="36"/>
    <tableColumn id="13" xr3:uid="{FBC55D08-7511-4B1E-87CF-B18FA839A202}" name="MATERIEL MIS A DISPOSITION" dataDxfId="35"/>
    <tableColumn id="14" xr3:uid="{6ED0E21D-1B33-4E78-818B-C9FDE736D4E3}" name="N° COMPTEUR SORTI " dataDxfId="34"/>
    <tableColumn id="15" xr3:uid="{B00BEE86-05E4-463B-9010-1676667DA957}" name="DATE DES TRAVAUX " dataDxfId="33"/>
    <tableColumn id="16" xr3:uid="{E1F6A8D5-8E7D-43A1-A992-861F1E2FA191}" name="COMPTEUR POSE SUR LE TERRAIN" dataDxfId="32"/>
    <tableColumn id="17" xr3:uid="{3893FD2C-0A03-461E-BCC2-86FD49C075DA}" name="TYPE DE COMPTEUR" dataDxfId="31"/>
    <tableColumn id="18" xr3:uid="{FB3C2A5E-611A-4B44-9C1C-7C994D5791B3}" name="CALIBRE DISJONCTEUR(A)" dataDxfId="30"/>
    <tableColumn id="19" xr3:uid="{5F0EB9D8-07A9-4329-8E2C-F7F5F3E51A52}" name="INDEX DE POSE" dataDxfId="29"/>
    <tableColumn id="20" xr3:uid="{D6B7129A-7438-4AE7-8EAC-ED810B9BC1DF}" name="RESULTAT DES TRAVAUX" dataDxfId="28"/>
    <tableColumn id="21" xr3:uid="{799D4A1A-FB82-4A1C-9B00-26CDBBF9E3EC}" name="STATUT CMS" dataDxfId="27"/>
    <tableColumn id="22" xr3:uid="{2790CDD9-5E85-4E68-8E77-0F1D6F39DD3D}" name="OBSERVATIONS" dataDxfId="26"/>
    <tableColumn id="23" xr3:uid="{50AEE261-10B6-417E-BDFF-EC173AA23917}" name="RECOMMANDATIONS" dataDxfId="25"/>
    <tableColumn id="24" xr3:uid="{B4125FCC-6179-4CD5-914E-A8518355628D}" name="B.N Total" dataDxfId="24">
      <calculatedColumnFormula>COUNTA(B2)</calculatedColumnFormula>
    </tableColumn>
    <tableColumn id="25" xr3:uid="{24917E88-79DF-4B65-A297-93CD8EB51687}" name="Nbre Brachements exécuté" dataDxfId="23">
      <calculatedColumnFormula>COUNTA(N2)</calculatedColumnFormula>
    </tableColumn>
    <tableColumn id="26" xr3:uid="{1B5E1E49-CC0A-429D-BC1B-088C1E53CC5B}" name="Nbre branchement en Cours" dataDxfId="22">
      <calculatedColumnFormula>Data_Base[[#This Row],[B.N Total]]-Data_Base[[#This Row],[Nbre Brachements exécuté]]</calculatedColumnFormula>
    </tableColumn>
    <tableColumn id="27" xr3:uid="{935DC547-7586-4011-9AA5-1BE31B3B53C5}" name="Journée" dataDxfId="21">
      <calculatedColumnFormula>IF(A2=""," ",TEXT(A2,"jjjj"))</calculatedColumnFormula>
    </tableColumn>
    <tableColumn id="28" xr3:uid="{ADD847C0-1D74-42DF-A448-851CF22D6EE8}" name="Jours" dataDxfId="20">
      <calculatedColumnFormula>IF(A2="","",TEXT(A2,"jj"))</calculatedColumnFormula>
    </tableColumn>
    <tableColumn id="30" xr3:uid="{03B9D7A1-F582-48F3-ABC0-9B774520A2EE}" name="Mois" dataDxfId="19">
      <calculatedColumnFormula>IF(A2=""," ",TEXT(A2,"mm"))</calculatedColumnFormula>
    </tableColumn>
    <tableColumn id="31" xr3:uid="{1F1C2239-C7C3-4290-BDCB-0C0D672B87C8}" name="Année" dataDxfId="18">
      <calculatedColumnFormula>IF(A2=""," ",TEXT(A2,"aaaa"))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32DCC-2498-494C-8916-A95A21AA9218}">
  <sheetPr codeName="Feuil3"/>
  <dimension ref="A2:I32"/>
  <sheetViews>
    <sheetView showGridLines="0" workbookViewId="0">
      <selection activeCell="E12" sqref="E12"/>
    </sheetView>
  </sheetViews>
  <sheetFormatPr defaultColWidth="11.42578125" defaultRowHeight="15" x14ac:dyDescent="0.25"/>
  <cols>
    <col min="1" max="1" width="11.28515625" bestFit="1" customWidth="1"/>
    <col min="2" max="2" width="18.42578125" bestFit="1" customWidth="1"/>
    <col min="3" max="3" width="21.140625" bestFit="1" customWidth="1"/>
    <col min="4" max="4" width="9" bestFit="1" customWidth="1"/>
    <col min="5" max="5" width="13.140625" bestFit="1" customWidth="1"/>
    <col min="6" max="6" width="21.5703125" bestFit="1" customWidth="1"/>
    <col min="7" max="7" width="24.140625" bestFit="1" customWidth="1"/>
    <col min="8" max="8" width="23.140625" bestFit="1" customWidth="1"/>
    <col min="9" max="9" width="11.5703125" bestFit="1" customWidth="1"/>
    <col min="10" max="10" width="18.140625" bestFit="1" customWidth="1"/>
    <col min="11" max="11" width="17.7109375" bestFit="1" customWidth="1"/>
    <col min="12" max="12" width="18.140625" bestFit="1" customWidth="1"/>
    <col min="13" max="13" width="17.7109375" bestFit="1" customWidth="1"/>
    <col min="14" max="14" width="18.140625" bestFit="1" customWidth="1"/>
    <col min="15" max="15" width="17.7109375" bestFit="1" customWidth="1"/>
    <col min="16" max="16" width="18.140625" bestFit="1" customWidth="1"/>
    <col min="17" max="17" width="17.7109375" bestFit="1" customWidth="1"/>
    <col min="18" max="18" width="21.42578125" bestFit="1" customWidth="1"/>
    <col min="19" max="19" width="20.85546875" bestFit="1" customWidth="1"/>
    <col min="20" max="20" width="18.140625" bestFit="1" customWidth="1"/>
    <col min="21" max="21" width="17.7109375" bestFit="1" customWidth="1"/>
    <col min="22" max="22" width="18.140625" bestFit="1" customWidth="1"/>
    <col min="23" max="23" width="17.7109375" bestFit="1" customWidth="1"/>
    <col min="24" max="24" width="18.140625" bestFit="1" customWidth="1"/>
    <col min="25" max="25" width="17.7109375" bestFit="1" customWidth="1"/>
    <col min="26" max="26" width="18.140625" bestFit="1" customWidth="1"/>
    <col min="27" max="27" width="17.7109375" bestFit="1" customWidth="1"/>
    <col min="28" max="28" width="18.140625" bestFit="1" customWidth="1"/>
    <col min="29" max="29" width="17.7109375" bestFit="1" customWidth="1"/>
    <col min="30" max="30" width="22" bestFit="1" customWidth="1"/>
    <col min="31" max="31" width="21.5703125" bestFit="1" customWidth="1"/>
    <col min="32" max="32" width="23.140625" bestFit="1" customWidth="1"/>
    <col min="33" max="33" width="22.7109375" bestFit="1" customWidth="1"/>
  </cols>
  <sheetData>
    <row r="2" spans="1:9" x14ac:dyDescent="0.25">
      <c r="A2" s="10" t="s">
        <v>1347</v>
      </c>
      <c r="B2" t="s">
        <v>1131</v>
      </c>
      <c r="C2" t="s">
        <v>1137</v>
      </c>
      <c r="D2" t="s">
        <v>1138</v>
      </c>
      <c r="F2" s="5" t="s">
        <v>529</v>
      </c>
      <c r="G2" s="6" t="s">
        <v>1127</v>
      </c>
      <c r="H2" s="6" t="s">
        <v>1128</v>
      </c>
      <c r="I2" t="s">
        <v>528</v>
      </c>
    </row>
    <row r="3" spans="1:9" x14ac:dyDescent="0.25">
      <c r="A3" s="1" t="s">
        <v>3</v>
      </c>
      <c r="B3" s="32">
        <v>36</v>
      </c>
      <c r="C3" s="32">
        <v>35</v>
      </c>
      <c r="D3" s="32">
        <v>71</v>
      </c>
      <c r="F3" s="4"/>
      <c r="G3" s="2">
        <f>GETPIVOTDATA("[Measures].[Somme de Nbre Brachements exécuté]",$A$2)</f>
        <v>210</v>
      </c>
      <c r="H3" s="2">
        <f>GETPIVOTDATA("[Measures].[Somme de B.N Total]",$A$2)</f>
        <v>561</v>
      </c>
      <c r="I3" s="7">
        <f>H3-G3</f>
        <v>351</v>
      </c>
    </row>
    <row r="4" spans="1:9" x14ac:dyDescent="0.25">
      <c r="A4" s="1" t="s">
        <v>66</v>
      </c>
      <c r="B4" s="32">
        <v>62</v>
      </c>
      <c r="C4" s="32">
        <v>78</v>
      </c>
      <c r="D4" s="32">
        <v>140</v>
      </c>
      <c r="F4" s="17"/>
      <c r="G4" s="19">
        <f>G3/H3</f>
        <v>0.37433155080213903</v>
      </c>
      <c r="H4" s="18"/>
      <c r="I4" s="15">
        <f>I3/H3</f>
        <v>0.62566844919786091</v>
      </c>
    </row>
    <row r="5" spans="1:9" x14ac:dyDescent="0.25">
      <c r="A5" s="1" t="s">
        <v>2</v>
      </c>
      <c r="B5" s="32">
        <v>112</v>
      </c>
      <c r="C5" s="32">
        <v>238</v>
      </c>
      <c r="D5" s="32">
        <v>350</v>
      </c>
      <c r="G5" s="16"/>
    </row>
    <row r="6" spans="1:9" x14ac:dyDescent="0.25">
      <c r="A6" s="1" t="s">
        <v>1348</v>
      </c>
      <c r="B6" s="33">
        <v>210</v>
      </c>
      <c r="C6" s="32">
        <v>351</v>
      </c>
      <c r="D6" s="32">
        <v>561</v>
      </c>
    </row>
    <row r="11" spans="1:9" x14ac:dyDescent="0.25">
      <c r="A11" s="10" t="s">
        <v>1134</v>
      </c>
      <c r="B11" t="s">
        <v>1132</v>
      </c>
      <c r="C11" t="s">
        <v>1133</v>
      </c>
    </row>
    <row r="12" spans="1:9" x14ac:dyDescent="0.25">
      <c r="A12" s="1" t="s">
        <v>3</v>
      </c>
      <c r="B12" s="32">
        <v>36</v>
      </c>
      <c r="C12" s="32">
        <v>14</v>
      </c>
      <c r="E12" s="10" t="s">
        <v>1347</v>
      </c>
      <c r="F12" t="s">
        <v>1135</v>
      </c>
      <c r="G12" t="s">
        <v>1136</v>
      </c>
    </row>
    <row r="13" spans="1:9" x14ac:dyDescent="0.25">
      <c r="A13" s="1" t="s">
        <v>66</v>
      </c>
      <c r="B13" s="32">
        <v>62</v>
      </c>
      <c r="C13" s="32">
        <v>37</v>
      </c>
      <c r="E13" s="1" t="s">
        <v>531</v>
      </c>
      <c r="F13" s="32">
        <v>98</v>
      </c>
      <c r="G13" s="32">
        <v>66</v>
      </c>
    </row>
    <row r="14" spans="1:9" x14ac:dyDescent="0.25">
      <c r="A14" s="1" t="s">
        <v>2</v>
      </c>
      <c r="B14" s="32">
        <v>112</v>
      </c>
      <c r="C14" s="32">
        <v>56</v>
      </c>
      <c r="E14" s="1" t="s">
        <v>532</v>
      </c>
      <c r="F14" s="32">
        <v>31</v>
      </c>
      <c r="G14" s="32">
        <v>12</v>
      </c>
    </row>
    <row r="15" spans="1:9" x14ac:dyDescent="0.25">
      <c r="A15" s="1" t="s">
        <v>1348</v>
      </c>
      <c r="B15" s="32">
        <v>210</v>
      </c>
      <c r="C15" s="32">
        <v>107</v>
      </c>
      <c r="E15" s="1" t="s">
        <v>533</v>
      </c>
      <c r="F15" s="32">
        <v>21</v>
      </c>
      <c r="G15" s="32">
        <v>7</v>
      </c>
    </row>
    <row r="16" spans="1:9" x14ac:dyDescent="0.25">
      <c r="E16" s="1" t="s">
        <v>530</v>
      </c>
      <c r="F16" s="32">
        <v>24</v>
      </c>
      <c r="G16" s="32">
        <v>18</v>
      </c>
    </row>
    <row r="17" spans="2:7" x14ac:dyDescent="0.25">
      <c r="E17" s="1" t="s">
        <v>534</v>
      </c>
      <c r="F17" s="32">
        <v>36</v>
      </c>
      <c r="G17" s="32">
        <v>4</v>
      </c>
    </row>
    <row r="18" spans="2:7" x14ac:dyDescent="0.25">
      <c r="E18" s="1" t="s">
        <v>1348</v>
      </c>
      <c r="F18" s="32">
        <v>210</v>
      </c>
      <c r="G18" s="32">
        <v>107</v>
      </c>
    </row>
    <row r="30" spans="2:7" x14ac:dyDescent="0.25">
      <c r="B30" t="s">
        <v>3</v>
      </c>
    </row>
    <row r="31" spans="2:7" x14ac:dyDescent="0.25">
      <c r="B31" t="s">
        <v>66</v>
      </c>
    </row>
    <row r="32" spans="2:7" x14ac:dyDescent="0.25">
      <c r="B32" t="s">
        <v>1139</v>
      </c>
    </row>
  </sheetData>
  <sheetProtection algorithmName="SHA-512" hashValue="GpTGPw3ZchIHEZpNfe8+VwdxTixJ/aZH/THU1FS+zY8I1qbuH07f+4BCFB1GOR5vIG0LqNN4NwyMYRh/45ykrA==" saltValue="BpqBYGTuayny+ZJ+PX0l3g==" spinCount="100000" sheet="1" objects="1" scenarios="1" selectLockedCells="1" sort="0" autoFilter="0" pivotTables="0"/>
  <conditionalFormatting sqref="I4">
    <cfRule type="colorScale" priority="3">
      <colorScale>
        <cfvo type="num" val="0.15"/>
        <cfvo type="num" val="0.5"/>
        <cfvo type="num" val="0.95"/>
        <color rgb="FF00B050"/>
        <color theme="5"/>
        <color rgb="FFFF0000"/>
      </colorScale>
    </cfRule>
  </conditionalFormatting>
  <conditionalFormatting sqref="G4">
    <cfRule type="iconSet" priority="2">
      <iconSet iconSet="5Arrows">
        <cfvo type="percent" val="0"/>
        <cfvo type="num" val="0.25" gte="0"/>
        <cfvo type="num" val="0.45" gte="0"/>
        <cfvo type="num" val="0.65" gte="0"/>
        <cfvo type="num" val="0.85" gte="0"/>
      </iconSet>
    </cfRule>
  </conditionalFormatting>
  <conditionalFormatting sqref="G5">
    <cfRule type="iconSet" priority="1">
      <iconSet iconSet="5Arrows" showValue="0">
        <cfvo type="percent" val="0"/>
        <cfvo type="num" val="0.25" gte="0"/>
        <cfvo type="num" val="0.45" gte="0"/>
        <cfvo type="num" val="0.65" gte="0"/>
        <cfvo type="num" val="0.85" gte="0"/>
      </iconSet>
    </cfRule>
  </conditionalFormatting>
  <pageMargins left="0.7" right="0.7" top="0.75" bottom="0.75" header="0.3" footer="0.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CCC94-67A9-471E-9640-D661D1FB6CE3}">
  <sheetPr codeName="Feuil4"/>
  <dimension ref="B1:Q21"/>
  <sheetViews>
    <sheetView showGridLines="0" showRowColHeaders="0" zoomScale="80" zoomScaleNormal="80" workbookViewId="0">
      <selection activeCell="I41" sqref="I41"/>
    </sheetView>
  </sheetViews>
  <sheetFormatPr defaultColWidth="11.42578125" defaultRowHeight="15" x14ac:dyDescent="0.25"/>
  <cols>
    <col min="1" max="2" width="11.42578125" style="3"/>
    <col min="3" max="3" width="11" style="3" customWidth="1"/>
    <col min="4" max="16" width="11.42578125" style="3"/>
    <col min="17" max="17" width="12.7109375" style="3" bestFit="1" customWidth="1"/>
    <col min="18" max="16384" width="11.42578125" style="3"/>
  </cols>
  <sheetData>
    <row r="1" spans="17:17" x14ac:dyDescent="0.25">
      <c r="Q1" s="24">
        <f>+MAXA(Data_Base[DATE RECEPTION])</f>
        <v>45425</v>
      </c>
    </row>
    <row r="21" spans="2:2" x14ac:dyDescent="0.25">
      <c r="B21" s="8"/>
    </row>
  </sheetData>
  <sheetProtection algorithmName="SHA-512" hashValue="1jV3FvxXodvPv0fD+nf/Orw24peUmGq6wx3Xx0mz7B+yBKMhRTr20VAv3BXmlf2nvaMxdrawhJomuzs8YZKRVQ==" saltValue="dggoRM7dECJjVuo+3sw/Bg==" spinCount="100000" sheet="1" objects="1" scenarios="1" selectLockedCells="1" sort="0" autoFilter="0" pivotTables="0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Update/Actualiser">
              <controlPr defaultSize="0" autoFill="0" autoPict="0" macro="[0]!Mise_à_jour">
                <anchor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3</xdr:col>
                    <xdr:colOff>19050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57386-9453-4063-B565-9BC71A128B9C}">
  <dimension ref="A1:AB562"/>
  <sheetViews>
    <sheetView showGridLines="0" showRowColHeaders="0" tabSelected="1" zoomScale="90" zoomScaleNormal="90" workbookViewId="0">
      <pane ySplit="1" topLeftCell="A2" activePane="bottomLeft" state="frozen"/>
      <selection pane="bottomLeft" activeCell="A563" sqref="A563"/>
    </sheetView>
  </sheetViews>
  <sheetFormatPr defaultColWidth="11.42578125" defaultRowHeight="15" x14ac:dyDescent="0.25"/>
  <cols>
    <col min="1" max="1" width="18.5703125" style="11" customWidth="1"/>
    <col min="2" max="2" width="34.28515625" style="12" bestFit="1" customWidth="1"/>
    <col min="3" max="3" width="11.42578125" style="12"/>
    <col min="4" max="4" width="17.42578125" style="26" hidden="1" customWidth="1"/>
    <col min="5" max="5" width="17.7109375" style="12" customWidth="1"/>
    <col min="6" max="6" width="23" style="28" hidden="1" customWidth="1"/>
    <col min="7" max="7" width="18" style="12" bestFit="1" customWidth="1"/>
    <col min="8" max="8" width="15" style="12" customWidth="1"/>
    <col min="9" max="9" width="27" style="12" customWidth="1"/>
    <col min="10" max="10" width="27.5703125" style="11" customWidth="1"/>
    <col min="11" max="11" width="30" style="12" customWidth="1"/>
    <col min="12" max="12" width="22.5703125" style="26" hidden="1" customWidth="1"/>
    <col min="13" max="13" width="22" style="11" customWidth="1"/>
    <col min="14" max="14" width="33.7109375" style="26" hidden="1" customWidth="1"/>
    <col min="15" max="15" width="21.28515625" style="12" customWidth="1"/>
    <col min="16" max="16" width="26.28515625" style="13" customWidth="1"/>
    <col min="17" max="17" width="17.140625" style="13" customWidth="1"/>
    <col min="18" max="18" width="25.7109375" style="12" customWidth="1"/>
    <col min="19" max="19" width="16.42578125" style="12" bestFit="1" customWidth="1"/>
    <col min="20" max="20" width="21" style="13" bestFit="1" customWidth="1"/>
    <col min="21" max="21" width="22.5703125" style="12" customWidth="1"/>
    <col min="22" max="22" width="12.28515625" style="14" bestFit="1" customWidth="1"/>
    <col min="23" max="23" width="23.5703125" style="14" bestFit="1" customWidth="1"/>
    <col min="24" max="24" width="16.28515625" style="14" customWidth="1"/>
    <col min="25" max="25" width="10.85546875" style="14" bestFit="1" customWidth="1"/>
    <col min="26" max="26" width="8.5703125" style="14" bestFit="1" customWidth="1"/>
    <col min="27" max="27" width="8.42578125" style="14" bestFit="1" customWidth="1"/>
    <col min="28" max="28" width="9.5703125" style="14" bestFit="1" customWidth="1"/>
  </cols>
  <sheetData>
    <row r="1" spans="1:28" s="23" customFormat="1" ht="45" customHeight="1" x14ac:dyDescent="0.25">
      <c r="A1" s="22" t="s">
        <v>535</v>
      </c>
      <c r="B1" s="9" t="s">
        <v>0</v>
      </c>
      <c r="C1" s="9" t="s">
        <v>18</v>
      </c>
      <c r="D1" s="25" t="s">
        <v>19</v>
      </c>
      <c r="E1" s="9" t="s">
        <v>15</v>
      </c>
      <c r="F1" s="27" t="s">
        <v>16</v>
      </c>
      <c r="G1" s="9" t="s">
        <v>5</v>
      </c>
      <c r="H1" s="9" t="s">
        <v>536</v>
      </c>
      <c r="I1" s="9" t="s">
        <v>20</v>
      </c>
      <c r="J1" s="22" t="s">
        <v>537</v>
      </c>
      <c r="K1" s="9" t="s">
        <v>1</v>
      </c>
      <c r="L1" s="29" t="s">
        <v>538</v>
      </c>
      <c r="M1" s="22" t="s">
        <v>539</v>
      </c>
      <c r="N1" s="29" t="s">
        <v>540</v>
      </c>
      <c r="O1" s="9" t="s">
        <v>4</v>
      </c>
      <c r="P1" s="9" t="s">
        <v>541</v>
      </c>
      <c r="Q1" s="9" t="s">
        <v>542</v>
      </c>
      <c r="R1" s="9" t="s">
        <v>543</v>
      </c>
      <c r="S1" s="21" t="s">
        <v>544</v>
      </c>
      <c r="T1" s="9" t="s">
        <v>545</v>
      </c>
      <c r="U1" s="9" t="s">
        <v>17</v>
      </c>
      <c r="V1" s="20" t="s">
        <v>1138</v>
      </c>
      <c r="W1" s="20" t="s">
        <v>1130</v>
      </c>
      <c r="X1" s="20" t="s">
        <v>1129</v>
      </c>
      <c r="Y1" s="20" t="s">
        <v>527</v>
      </c>
      <c r="Z1" s="20" t="s">
        <v>525</v>
      </c>
      <c r="AA1" s="20" t="s">
        <v>524</v>
      </c>
      <c r="AB1" s="20" t="s">
        <v>526</v>
      </c>
    </row>
    <row r="2" spans="1:28" x14ac:dyDescent="0.25">
      <c r="A2" s="30">
        <v>45309</v>
      </c>
      <c r="B2" s="26" t="s">
        <v>81</v>
      </c>
      <c r="C2" s="26" t="s">
        <v>66</v>
      </c>
      <c r="D2" s="26" t="s">
        <v>82</v>
      </c>
      <c r="E2" s="26" t="s">
        <v>142</v>
      </c>
      <c r="F2" s="28" t="s">
        <v>387</v>
      </c>
      <c r="G2" s="26" t="s">
        <v>160</v>
      </c>
      <c r="H2" s="26" t="s">
        <v>344</v>
      </c>
      <c r="I2" s="26" t="s">
        <v>160</v>
      </c>
      <c r="J2" s="30">
        <v>45399</v>
      </c>
      <c r="K2" s="26" t="s">
        <v>546</v>
      </c>
      <c r="L2" s="26" t="s">
        <v>388</v>
      </c>
      <c r="M2" s="30">
        <v>45399</v>
      </c>
      <c r="N2" s="26" t="s">
        <v>388</v>
      </c>
      <c r="O2" s="26" t="s">
        <v>290</v>
      </c>
      <c r="P2" s="31">
        <v>10</v>
      </c>
      <c r="Q2" s="31"/>
      <c r="R2" s="26" t="s">
        <v>547</v>
      </c>
      <c r="S2" s="26" t="s">
        <v>548</v>
      </c>
      <c r="T2" s="31" t="s">
        <v>549</v>
      </c>
      <c r="U2" s="26" t="s">
        <v>550</v>
      </c>
      <c r="V2" s="26">
        <f t="shared" ref="V2:V65" si="0">COUNTA(B2)</f>
        <v>1</v>
      </c>
      <c r="W2" s="26">
        <f>COUNTA(N2)</f>
        <v>1</v>
      </c>
      <c r="X2" s="26">
        <f>Data_Base[[#This Row],[B.N Total]]-Data_Base[[#This Row],[Nbre Brachements exécuté]]</f>
        <v>0</v>
      </c>
      <c r="Y2" s="26" t="str">
        <f t="shared" ref="Y2:Y65" si="1">IF(A2=""," ",TEXT(A2,"jjjj"))</f>
        <v>jeudi</v>
      </c>
      <c r="Z2" s="26" t="str">
        <f t="shared" ref="Z2:Z65" si="2">IF(A2="","",TEXT(A2,"jj"))</f>
        <v>18</v>
      </c>
      <c r="AA2" s="26" t="str">
        <f>IF(A2=""," ",TEXT(A2,"mm"))</f>
        <v>01</v>
      </c>
      <c r="AB2" s="26" t="str">
        <f t="shared" ref="AB2:AB65" si="3">IF(A2=""," ",TEXT(A2,"aaaa"))</f>
        <v>2024</v>
      </c>
    </row>
    <row r="3" spans="1:28" x14ac:dyDescent="0.25">
      <c r="A3" s="30">
        <v>45371</v>
      </c>
      <c r="B3" s="26" t="s">
        <v>77</v>
      </c>
      <c r="C3" s="26" t="s">
        <v>66</v>
      </c>
      <c r="D3" s="26" t="s">
        <v>76</v>
      </c>
      <c r="E3" s="26" t="s">
        <v>142</v>
      </c>
      <c r="F3" s="28" t="s">
        <v>387</v>
      </c>
      <c r="G3" s="26" t="s">
        <v>160</v>
      </c>
      <c r="H3" s="26" t="s">
        <v>344</v>
      </c>
      <c r="I3" s="26" t="s">
        <v>160</v>
      </c>
      <c r="J3" s="30">
        <v>45399</v>
      </c>
      <c r="K3" s="26" t="s">
        <v>546</v>
      </c>
      <c r="L3" s="26" t="s">
        <v>386</v>
      </c>
      <c r="M3" s="30">
        <v>45399</v>
      </c>
      <c r="N3" s="26" t="s">
        <v>386</v>
      </c>
      <c r="O3" s="26" t="s">
        <v>290</v>
      </c>
      <c r="P3" s="31">
        <v>10</v>
      </c>
      <c r="Q3" s="31"/>
      <c r="R3" s="26" t="s">
        <v>547</v>
      </c>
      <c r="S3" s="26" t="s">
        <v>548</v>
      </c>
      <c r="T3" s="31" t="s">
        <v>549</v>
      </c>
      <c r="U3" s="26" t="s">
        <v>550</v>
      </c>
      <c r="V3" s="26">
        <f t="shared" si="0"/>
        <v>1</v>
      </c>
      <c r="W3" s="26">
        <f t="shared" ref="W3:W66" si="4">COUNTA(N3)</f>
        <v>1</v>
      </c>
      <c r="X3" s="26">
        <f>Data_Base[[#This Row],[B.N Total]]-Data_Base[[#This Row],[Nbre Brachements exécuté]]</f>
        <v>0</v>
      </c>
      <c r="Y3" s="26" t="str">
        <f t="shared" si="1"/>
        <v>mercredi</v>
      </c>
      <c r="Z3" s="26" t="str">
        <f t="shared" si="2"/>
        <v>20</v>
      </c>
      <c r="AA3" s="26" t="str">
        <f t="shared" ref="AA3:AA66" si="5">IF(A3=""," ",TEXT(A3,"mm"))</f>
        <v>03</v>
      </c>
      <c r="AB3" s="26" t="str">
        <f t="shared" si="3"/>
        <v>2024</v>
      </c>
    </row>
    <row r="4" spans="1:28" x14ac:dyDescent="0.25">
      <c r="A4" s="30">
        <v>45371</v>
      </c>
      <c r="B4" s="26" t="s">
        <v>77</v>
      </c>
      <c r="C4" s="26" t="s">
        <v>66</v>
      </c>
      <c r="D4" s="26" t="s">
        <v>78</v>
      </c>
      <c r="E4" s="26" t="s">
        <v>142</v>
      </c>
      <c r="F4" s="28" t="s">
        <v>387</v>
      </c>
      <c r="G4" s="26" t="s">
        <v>160</v>
      </c>
      <c r="H4" s="26" t="s">
        <v>344</v>
      </c>
      <c r="I4" s="26" t="s">
        <v>160</v>
      </c>
      <c r="J4" s="30">
        <v>45399</v>
      </c>
      <c r="K4" s="26" t="s">
        <v>546</v>
      </c>
      <c r="L4" s="26" t="s">
        <v>551</v>
      </c>
      <c r="M4" s="30">
        <v>45399</v>
      </c>
      <c r="N4" s="26" t="s">
        <v>551</v>
      </c>
      <c r="O4" s="26" t="s">
        <v>141</v>
      </c>
      <c r="P4" s="31">
        <v>15</v>
      </c>
      <c r="Q4" s="31"/>
      <c r="R4" s="26" t="s">
        <v>547</v>
      </c>
      <c r="S4" s="26" t="s">
        <v>548</v>
      </c>
      <c r="T4" s="31" t="s">
        <v>549</v>
      </c>
      <c r="U4" s="26" t="s">
        <v>550</v>
      </c>
      <c r="V4" s="26">
        <f t="shared" si="0"/>
        <v>1</v>
      </c>
      <c r="W4" s="26">
        <f t="shared" si="4"/>
        <v>1</v>
      </c>
      <c r="X4" s="26">
        <f>Data_Base[[#This Row],[B.N Total]]-Data_Base[[#This Row],[Nbre Brachements exécuté]]</f>
        <v>0</v>
      </c>
      <c r="Y4" s="26" t="str">
        <f t="shared" si="1"/>
        <v>mercredi</v>
      </c>
      <c r="Z4" s="26" t="str">
        <f t="shared" si="2"/>
        <v>20</v>
      </c>
      <c r="AA4" s="26" t="str">
        <f t="shared" si="5"/>
        <v>03</v>
      </c>
      <c r="AB4" s="26" t="str">
        <f t="shared" si="3"/>
        <v>2024</v>
      </c>
    </row>
    <row r="5" spans="1:28" x14ac:dyDescent="0.25">
      <c r="A5" s="30">
        <v>45371</v>
      </c>
      <c r="B5" s="26" t="s">
        <v>77</v>
      </c>
      <c r="C5" s="26" t="s">
        <v>66</v>
      </c>
      <c r="D5" s="26" t="s">
        <v>79</v>
      </c>
      <c r="E5" s="26" t="s">
        <v>142</v>
      </c>
      <c r="F5" s="28" t="s">
        <v>387</v>
      </c>
      <c r="G5" s="26" t="s">
        <v>160</v>
      </c>
      <c r="H5" s="26" t="s">
        <v>344</v>
      </c>
      <c r="I5" s="26" t="s">
        <v>160</v>
      </c>
      <c r="J5" s="30">
        <v>45399</v>
      </c>
      <c r="K5" s="26" t="s">
        <v>546</v>
      </c>
      <c r="L5" s="26" t="s">
        <v>552</v>
      </c>
      <c r="M5" s="30">
        <v>45397</v>
      </c>
      <c r="N5" s="26" t="s">
        <v>552</v>
      </c>
      <c r="O5" s="26" t="s">
        <v>141</v>
      </c>
      <c r="P5" s="31">
        <v>15</v>
      </c>
      <c r="Q5" s="31"/>
      <c r="R5" s="26" t="s">
        <v>547</v>
      </c>
      <c r="S5" s="26" t="s">
        <v>548</v>
      </c>
      <c r="T5" s="31" t="s">
        <v>549</v>
      </c>
      <c r="U5" s="26" t="s">
        <v>550</v>
      </c>
      <c r="V5" s="26">
        <f t="shared" si="0"/>
        <v>1</v>
      </c>
      <c r="W5" s="26">
        <f t="shared" si="4"/>
        <v>1</v>
      </c>
      <c r="X5" s="26">
        <f>Data_Base[[#This Row],[B.N Total]]-Data_Base[[#This Row],[Nbre Brachements exécuté]]</f>
        <v>0</v>
      </c>
      <c r="Y5" s="26" t="str">
        <f t="shared" si="1"/>
        <v>mercredi</v>
      </c>
      <c r="Z5" s="26" t="str">
        <f t="shared" si="2"/>
        <v>20</v>
      </c>
      <c r="AA5" s="26" t="str">
        <f t="shared" si="5"/>
        <v>03</v>
      </c>
      <c r="AB5" s="26" t="str">
        <f t="shared" si="3"/>
        <v>2024</v>
      </c>
    </row>
    <row r="6" spans="1:28" x14ac:dyDescent="0.25">
      <c r="A6" s="30">
        <v>45371</v>
      </c>
      <c r="B6" s="26" t="s">
        <v>77</v>
      </c>
      <c r="C6" s="26" t="s">
        <v>66</v>
      </c>
      <c r="D6" s="26" t="s">
        <v>80</v>
      </c>
      <c r="E6" s="26" t="s">
        <v>142</v>
      </c>
      <c r="F6" s="28" t="s">
        <v>387</v>
      </c>
      <c r="G6" s="26" t="s">
        <v>160</v>
      </c>
      <c r="H6" s="26" t="s">
        <v>344</v>
      </c>
      <c r="I6" s="26" t="s">
        <v>160</v>
      </c>
      <c r="J6" s="30">
        <v>45397</v>
      </c>
      <c r="K6" s="26" t="s">
        <v>546</v>
      </c>
      <c r="L6" s="26" t="s">
        <v>392</v>
      </c>
      <c r="M6" s="30">
        <v>45397</v>
      </c>
      <c r="N6" s="26" t="s">
        <v>392</v>
      </c>
      <c r="O6" s="26" t="s">
        <v>141</v>
      </c>
      <c r="P6" s="31">
        <v>15</v>
      </c>
      <c r="Q6" s="31"/>
      <c r="R6" s="26" t="s">
        <v>547</v>
      </c>
      <c r="S6" s="26" t="s">
        <v>548</v>
      </c>
      <c r="T6" s="31" t="s">
        <v>549</v>
      </c>
      <c r="U6" s="26" t="s">
        <v>550</v>
      </c>
      <c r="V6" s="26">
        <f t="shared" si="0"/>
        <v>1</v>
      </c>
      <c r="W6" s="26">
        <f t="shared" si="4"/>
        <v>1</v>
      </c>
      <c r="X6" s="26">
        <f>Data_Base[[#This Row],[B.N Total]]-Data_Base[[#This Row],[Nbre Brachements exécuté]]</f>
        <v>0</v>
      </c>
      <c r="Y6" s="26" t="str">
        <f t="shared" si="1"/>
        <v>mercredi</v>
      </c>
      <c r="Z6" s="26" t="str">
        <f t="shared" si="2"/>
        <v>20</v>
      </c>
      <c r="AA6" s="26" t="str">
        <f t="shared" si="5"/>
        <v>03</v>
      </c>
      <c r="AB6" s="26" t="str">
        <f t="shared" si="3"/>
        <v>2024</v>
      </c>
    </row>
    <row r="7" spans="1:28" x14ac:dyDescent="0.25">
      <c r="A7" s="30">
        <v>45386</v>
      </c>
      <c r="B7" s="26" t="s">
        <v>48</v>
      </c>
      <c r="C7" s="26" t="s">
        <v>2</v>
      </c>
      <c r="D7" s="26" t="s">
        <v>49</v>
      </c>
      <c r="E7" s="26" t="s">
        <v>142</v>
      </c>
      <c r="F7" s="28" t="s">
        <v>283</v>
      </c>
      <c r="G7" s="26" t="s">
        <v>160</v>
      </c>
      <c r="H7" s="26" t="s">
        <v>344</v>
      </c>
      <c r="I7" s="26" t="s">
        <v>160</v>
      </c>
      <c r="J7" s="30">
        <v>45397</v>
      </c>
      <c r="K7" s="26" t="s">
        <v>546</v>
      </c>
      <c r="L7" s="26" t="s">
        <v>282</v>
      </c>
      <c r="M7" s="30">
        <v>45397</v>
      </c>
      <c r="N7" s="26" t="s">
        <v>282</v>
      </c>
      <c r="O7" s="26" t="s">
        <v>141</v>
      </c>
      <c r="P7" s="31">
        <v>15</v>
      </c>
      <c r="Q7" s="31"/>
      <c r="R7" s="26" t="s">
        <v>547</v>
      </c>
      <c r="S7" s="26" t="s">
        <v>548</v>
      </c>
      <c r="T7" s="31" t="s">
        <v>549</v>
      </c>
      <c r="U7" s="26" t="s">
        <v>550</v>
      </c>
      <c r="V7" s="26">
        <f t="shared" si="0"/>
        <v>1</v>
      </c>
      <c r="W7" s="26">
        <f t="shared" si="4"/>
        <v>1</v>
      </c>
      <c r="X7" s="26">
        <f>Data_Base[[#This Row],[B.N Total]]-Data_Base[[#This Row],[Nbre Brachements exécuté]]</f>
        <v>0</v>
      </c>
      <c r="Y7" s="26" t="str">
        <f t="shared" si="1"/>
        <v>jeudi</v>
      </c>
      <c r="Z7" s="26" t="str">
        <f t="shared" si="2"/>
        <v>04</v>
      </c>
      <c r="AA7" s="26" t="str">
        <f t="shared" si="5"/>
        <v>04</v>
      </c>
      <c r="AB7" s="26" t="str">
        <f t="shared" si="3"/>
        <v>2024</v>
      </c>
    </row>
    <row r="8" spans="1:28" x14ac:dyDescent="0.25">
      <c r="A8" s="30">
        <v>45387</v>
      </c>
      <c r="B8" s="26" t="s">
        <v>40</v>
      </c>
      <c r="C8" s="26" t="s">
        <v>2</v>
      </c>
      <c r="D8" s="26" t="s">
        <v>47</v>
      </c>
      <c r="E8" s="26"/>
      <c r="G8" s="26"/>
      <c r="H8" s="26"/>
      <c r="I8" s="26"/>
      <c r="J8" s="30"/>
      <c r="K8" s="26"/>
      <c r="M8" s="30"/>
      <c r="O8" s="26"/>
      <c r="P8" s="31"/>
      <c r="Q8" s="31"/>
      <c r="R8" s="26"/>
      <c r="S8" s="26"/>
      <c r="T8" s="31"/>
      <c r="U8" s="26"/>
      <c r="V8" s="26">
        <f t="shared" si="0"/>
        <v>1</v>
      </c>
      <c r="W8" s="26">
        <f t="shared" si="4"/>
        <v>0</v>
      </c>
      <c r="X8" s="26">
        <f>Data_Base[[#This Row],[B.N Total]]-Data_Base[[#This Row],[Nbre Brachements exécuté]]</f>
        <v>1</v>
      </c>
      <c r="Y8" s="26" t="str">
        <f t="shared" si="1"/>
        <v>vendredi</v>
      </c>
      <c r="Z8" s="26" t="str">
        <f t="shared" si="2"/>
        <v>05</v>
      </c>
      <c r="AA8" s="26" t="str">
        <f t="shared" si="5"/>
        <v>04</v>
      </c>
      <c r="AB8" s="26" t="str">
        <f t="shared" si="3"/>
        <v>2024</v>
      </c>
    </row>
    <row r="9" spans="1:28" x14ac:dyDescent="0.25">
      <c r="A9" s="30">
        <v>45387</v>
      </c>
      <c r="B9" s="26" t="s">
        <v>41</v>
      </c>
      <c r="C9" s="26" t="s">
        <v>2</v>
      </c>
      <c r="D9" s="26" t="s">
        <v>46</v>
      </c>
      <c r="E9" s="26" t="s">
        <v>142</v>
      </c>
      <c r="F9" s="28" t="s">
        <v>281</v>
      </c>
      <c r="G9" s="26" t="s">
        <v>164</v>
      </c>
      <c r="H9" s="26" t="s">
        <v>221</v>
      </c>
      <c r="I9" s="26" t="s">
        <v>164</v>
      </c>
      <c r="J9" s="30">
        <v>45394</v>
      </c>
      <c r="K9" s="26" t="s">
        <v>546</v>
      </c>
      <c r="L9" s="26" t="s">
        <v>280</v>
      </c>
      <c r="M9" s="30">
        <v>45394</v>
      </c>
      <c r="N9" s="26" t="s">
        <v>280</v>
      </c>
      <c r="O9" s="26" t="s">
        <v>141</v>
      </c>
      <c r="P9" s="31">
        <v>15</v>
      </c>
      <c r="Q9" s="31"/>
      <c r="R9" s="26" t="s">
        <v>547</v>
      </c>
      <c r="S9" s="26" t="s">
        <v>548</v>
      </c>
      <c r="T9" s="31" t="s">
        <v>549</v>
      </c>
      <c r="U9" s="26" t="s">
        <v>550</v>
      </c>
      <c r="V9" s="26">
        <f t="shared" si="0"/>
        <v>1</v>
      </c>
      <c r="W9" s="26">
        <f t="shared" si="4"/>
        <v>1</v>
      </c>
      <c r="X9" s="26">
        <f>Data_Base[[#This Row],[B.N Total]]-Data_Base[[#This Row],[Nbre Brachements exécuté]]</f>
        <v>0</v>
      </c>
      <c r="Y9" s="26" t="str">
        <f t="shared" si="1"/>
        <v>vendredi</v>
      </c>
      <c r="Z9" s="26" t="str">
        <f t="shared" si="2"/>
        <v>05</v>
      </c>
      <c r="AA9" s="26" t="str">
        <f t="shared" si="5"/>
        <v>04</v>
      </c>
      <c r="AB9" s="26" t="str">
        <f t="shared" si="3"/>
        <v>2024</v>
      </c>
    </row>
    <row r="10" spans="1:28" x14ac:dyDescent="0.25">
      <c r="A10" s="30">
        <v>45387</v>
      </c>
      <c r="B10" s="26" t="s">
        <v>42</v>
      </c>
      <c r="C10" s="26" t="s">
        <v>2</v>
      </c>
      <c r="D10" s="26" t="s">
        <v>44</v>
      </c>
      <c r="E10" s="26" t="s">
        <v>142</v>
      </c>
      <c r="F10" s="28" t="s">
        <v>285</v>
      </c>
      <c r="G10" s="26" t="s">
        <v>164</v>
      </c>
      <c r="H10" s="26" t="s">
        <v>170</v>
      </c>
      <c r="I10" s="26" t="s">
        <v>164</v>
      </c>
      <c r="J10" s="30">
        <v>45394</v>
      </c>
      <c r="K10" s="26" t="s">
        <v>546</v>
      </c>
      <c r="L10" s="26" t="s">
        <v>284</v>
      </c>
      <c r="M10" s="30">
        <v>45394</v>
      </c>
      <c r="N10" s="26" t="s">
        <v>284</v>
      </c>
      <c r="O10" s="26" t="s">
        <v>141</v>
      </c>
      <c r="P10" s="31">
        <v>15</v>
      </c>
      <c r="Q10" s="31"/>
      <c r="R10" s="26" t="s">
        <v>547</v>
      </c>
      <c r="S10" s="26" t="s">
        <v>548</v>
      </c>
      <c r="T10" s="31" t="s">
        <v>549</v>
      </c>
      <c r="U10" s="26" t="s">
        <v>550</v>
      </c>
      <c r="V10" s="26">
        <f t="shared" si="0"/>
        <v>1</v>
      </c>
      <c r="W10" s="26">
        <f t="shared" si="4"/>
        <v>1</v>
      </c>
      <c r="X10" s="26">
        <f>Data_Base[[#This Row],[B.N Total]]-Data_Base[[#This Row],[Nbre Brachements exécuté]]</f>
        <v>0</v>
      </c>
      <c r="Y10" s="26" t="str">
        <f t="shared" si="1"/>
        <v>vendredi</v>
      </c>
      <c r="Z10" s="26" t="str">
        <f t="shared" si="2"/>
        <v>05</v>
      </c>
      <c r="AA10" s="26" t="str">
        <f t="shared" si="5"/>
        <v>04</v>
      </c>
      <c r="AB10" s="26" t="str">
        <f t="shared" si="3"/>
        <v>2024</v>
      </c>
    </row>
    <row r="11" spans="1:28" x14ac:dyDescent="0.25">
      <c r="A11" s="30">
        <v>45387</v>
      </c>
      <c r="B11" s="26" t="s">
        <v>43</v>
      </c>
      <c r="C11" s="26" t="s">
        <v>2</v>
      </c>
      <c r="D11" s="26" t="s">
        <v>45</v>
      </c>
      <c r="E11" s="26" t="s">
        <v>142</v>
      </c>
      <c r="F11" s="28" t="s">
        <v>553</v>
      </c>
      <c r="G11" s="26" t="s">
        <v>160</v>
      </c>
      <c r="H11" s="26" t="s">
        <v>325</v>
      </c>
      <c r="I11" s="26" t="s">
        <v>160</v>
      </c>
      <c r="J11" s="30">
        <v>45411</v>
      </c>
      <c r="K11" s="26" t="s">
        <v>546</v>
      </c>
      <c r="L11" s="26" t="s">
        <v>554</v>
      </c>
      <c r="M11" s="30">
        <v>45411</v>
      </c>
      <c r="N11" s="26" t="s">
        <v>554</v>
      </c>
      <c r="O11" s="26" t="s">
        <v>389</v>
      </c>
      <c r="P11" s="31">
        <v>30</v>
      </c>
      <c r="Q11" s="31"/>
      <c r="R11" s="26" t="s">
        <v>547</v>
      </c>
      <c r="S11" s="26"/>
      <c r="T11" s="31"/>
      <c r="U11" s="26"/>
      <c r="V11" s="26">
        <f t="shared" si="0"/>
        <v>1</v>
      </c>
      <c r="W11" s="26">
        <f t="shared" si="4"/>
        <v>1</v>
      </c>
      <c r="X11" s="26">
        <f>Data_Base[[#This Row],[B.N Total]]-Data_Base[[#This Row],[Nbre Brachements exécuté]]</f>
        <v>0</v>
      </c>
      <c r="Y11" s="26" t="str">
        <f t="shared" si="1"/>
        <v>vendredi</v>
      </c>
      <c r="Z11" s="26" t="str">
        <f t="shared" si="2"/>
        <v>05</v>
      </c>
      <c r="AA11" s="26" t="str">
        <f t="shared" si="5"/>
        <v>04</v>
      </c>
      <c r="AB11" s="26" t="str">
        <f t="shared" si="3"/>
        <v>2024</v>
      </c>
    </row>
    <row r="12" spans="1:28" x14ac:dyDescent="0.25">
      <c r="A12" s="30">
        <v>45390</v>
      </c>
      <c r="B12" s="26" t="s">
        <v>21</v>
      </c>
      <c r="C12" s="26" t="s">
        <v>2</v>
      </c>
      <c r="D12" s="26" t="s">
        <v>29</v>
      </c>
      <c r="E12" s="26" t="s">
        <v>142</v>
      </c>
      <c r="F12" s="28" t="s">
        <v>222</v>
      </c>
      <c r="G12" s="26" t="s">
        <v>160</v>
      </c>
      <c r="H12" s="26" t="s">
        <v>161</v>
      </c>
      <c r="I12" s="26" t="s">
        <v>160</v>
      </c>
      <c r="J12" s="30">
        <v>45394</v>
      </c>
      <c r="K12" s="26" t="s">
        <v>546</v>
      </c>
      <c r="L12" s="26" t="s">
        <v>146</v>
      </c>
      <c r="M12" s="30">
        <v>45394</v>
      </c>
      <c r="N12" s="26" t="s">
        <v>146</v>
      </c>
      <c r="O12" s="26" t="s">
        <v>141</v>
      </c>
      <c r="P12" s="31">
        <v>30</v>
      </c>
      <c r="Q12" s="31"/>
      <c r="R12" s="26" t="s">
        <v>547</v>
      </c>
      <c r="S12" s="26" t="s">
        <v>548</v>
      </c>
      <c r="T12" s="31" t="s">
        <v>549</v>
      </c>
      <c r="U12" s="26" t="s">
        <v>550</v>
      </c>
      <c r="V12" s="26">
        <f t="shared" si="0"/>
        <v>1</v>
      </c>
      <c r="W12" s="26">
        <f t="shared" si="4"/>
        <v>1</v>
      </c>
      <c r="X12" s="26">
        <f>Data_Base[[#This Row],[B.N Total]]-Data_Base[[#This Row],[Nbre Brachements exécuté]]</f>
        <v>0</v>
      </c>
      <c r="Y12" s="26" t="str">
        <f t="shared" si="1"/>
        <v>lundi</v>
      </c>
      <c r="Z12" s="26" t="str">
        <f t="shared" si="2"/>
        <v>08</v>
      </c>
      <c r="AA12" s="26" t="str">
        <f t="shared" si="5"/>
        <v>04</v>
      </c>
      <c r="AB12" s="26" t="str">
        <f t="shared" si="3"/>
        <v>2024</v>
      </c>
    </row>
    <row r="13" spans="1:28" x14ac:dyDescent="0.25">
      <c r="A13" s="30">
        <v>45390</v>
      </c>
      <c r="B13" s="26" t="s">
        <v>21</v>
      </c>
      <c r="C13" s="26" t="s">
        <v>2</v>
      </c>
      <c r="D13" s="26" t="s">
        <v>30</v>
      </c>
      <c r="E13" s="26" t="s">
        <v>142</v>
      </c>
      <c r="F13" s="28" t="s">
        <v>222</v>
      </c>
      <c r="G13" s="26" t="s">
        <v>160</v>
      </c>
      <c r="H13" s="26" t="s">
        <v>161</v>
      </c>
      <c r="I13" s="26" t="s">
        <v>160</v>
      </c>
      <c r="J13" s="30">
        <v>45395</v>
      </c>
      <c r="K13" s="26" t="s">
        <v>546</v>
      </c>
      <c r="L13" s="26" t="s">
        <v>144</v>
      </c>
      <c r="M13" s="30">
        <v>45395</v>
      </c>
      <c r="N13" s="26" t="s">
        <v>144</v>
      </c>
      <c r="O13" s="26" t="s">
        <v>141</v>
      </c>
      <c r="P13" s="31">
        <v>30</v>
      </c>
      <c r="Q13" s="31"/>
      <c r="R13" s="26" t="s">
        <v>547</v>
      </c>
      <c r="S13" s="26" t="s">
        <v>548</v>
      </c>
      <c r="T13" s="31" t="s">
        <v>549</v>
      </c>
      <c r="U13" s="26" t="s">
        <v>550</v>
      </c>
      <c r="V13" s="26">
        <f t="shared" si="0"/>
        <v>1</v>
      </c>
      <c r="W13" s="26">
        <f t="shared" si="4"/>
        <v>1</v>
      </c>
      <c r="X13" s="26">
        <f>Data_Base[[#This Row],[B.N Total]]-Data_Base[[#This Row],[Nbre Brachements exécuté]]</f>
        <v>0</v>
      </c>
      <c r="Y13" s="26" t="str">
        <f t="shared" si="1"/>
        <v>lundi</v>
      </c>
      <c r="Z13" s="26" t="str">
        <f t="shared" si="2"/>
        <v>08</v>
      </c>
      <c r="AA13" s="26" t="str">
        <f t="shared" si="5"/>
        <v>04</v>
      </c>
      <c r="AB13" s="26" t="str">
        <f t="shared" si="3"/>
        <v>2024</v>
      </c>
    </row>
    <row r="14" spans="1:28" x14ac:dyDescent="0.25">
      <c r="A14" s="30">
        <v>45390</v>
      </c>
      <c r="B14" s="26" t="s">
        <v>21</v>
      </c>
      <c r="C14" s="26" t="s">
        <v>2</v>
      </c>
      <c r="D14" s="26" t="s">
        <v>31</v>
      </c>
      <c r="E14" s="26" t="s">
        <v>142</v>
      </c>
      <c r="F14" s="28" t="s">
        <v>222</v>
      </c>
      <c r="G14" s="26" t="s">
        <v>160</v>
      </c>
      <c r="H14" s="26" t="s">
        <v>161</v>
      </c>
      <c r="I14" s="26" t="s">
        <v>160</v>
      </c>
      <c r="J14" s="30">
        <v>45397</v>
      </c>
      <c r="K14" s="26" t="s">
        <v>546</v>
      </c>
      <c r="L14" s="26" t="s">
        <v>145</v>
      </c>
      <c r="M14" s="30">
        <v>45397</v>
      </c>
      <c r="N14" s="26" t="s">
        <v>145</v>
      </c>
      <c r="O14" s="26" t="s">
        <v>141</v>
      </c>
      <c r="P14" s="31">
        <v>30</v>
      </c>
      <c r="Q14" s="31"/>
      <c r="R14" s="26" t="s">
        <v>547</v>
      </c>
      <c r="S14" s="26" t="s">
        <v>548</v>
      </c>
      <c r="T14" s="31" t="s">
        <v>549</v>
      </c>
      <c r="U14" s="26" t="s">
        <v>550</v>
      </c>
      <c r="V14" s="26">
        <f t="shared" si="0"/>
        <v>1</v>
      </c>
      <c r="W14" s="26">
        <f t="shared" si="4"/>
        <v>1</v>
      </c>
      <c r="X14" s="26">
        <f>Data_Base[[#This Row],[B.N Total]]-Data_Base[[#This Row],[Nbre Brachements exécuté]]</f>
        <v>0</v>
      </c>
      <c r="Y14" s="26" t="str">
        <f t="shared" si="1"/>
        <v>lundi</v>
      </c>
      <c r="Z14" s="26" t="str">
        <f t="shared" si="2"/>
        <v>08</v>
      </c>
      <c r="AA14" s="26" t="str">
        <f t="shared" si="5"/>
        <v>04</v>
      </c>
      <c r="AB14" s="26" t="str">
        <f t="shared" si="3"/>
        <v>2024</v>
      </c>
    </row>
    <row r="15" spans="1:28" x14ac:dyDescent="0.25">
      <c r="A15" s="30">
        <v>45390</v>
      </c>
      <c r="B15" s="26" t="s">
        <v>22</v>
      </c>
      <c r="C15" s="26" t="s">
        <v>2</v>
      </c>
      <c r="D15" s="26" t="s">
        <v>32</v>
      </c>
      <c r="E15" s="26" t="s">
        <v>142</v>
      </c>
      <c r="F15" s="28" t="s">
        <v>300</v>
      </c>
      <c r="G15" s="26" t="s">
        <v>164</v>
      </c>
      <c r="H15" s="26" t="s">
        <v>170</v>
      </c>
      <c r="I15" s="26" t="s">
        <v>164</v>
      </c>
      <c r="J15" s="30">
        <v>45395</v>
      </c>
      <c r="K15" s="26" t="s">
        <v>546</v>
      </c>
      <c r="L15" s="26" t="s">
        <v>299</v>
      </c>
      <c r="M15" s="30">
        <v>45395</v>
      </c>
      <c r="N15" s="26" t="s">
        <v>299</v>
      </c>
      <c r="O15" s="26" t="s">
        <v>141</v>
      </c>
      <c r="P15" s="31">
        <v>15</v>
      </c>
      <c r="Q15" s="31"/>
      <c r="R15" s="26" t="s">
        <v>547</v>
      </c>
      <c r="S15" s="26" t="s">
        <v>548</v>
      </c>
      <c r="T15" s="31" t="s">
        <v>549</v>
      </c>
      <c r="U15" s="26" t="s">
        <v>550</v>
      </c>
      <c r="V15" s="26">
        <f t="shared" si="0"/>
        <v>1</v>
      </c>
      <c r="W15" s="26">
        <f t="shared" si="4"/>
        <v>1</v>
      </c>
      <c r="X15" s="26">
        <f>Data_Base[[#This Row],[B.N Total]]-Data_Base[[#This Row],[Nbre Brachements exécuté]]</f>
        <v>0</v>
      </c>
      <c r="Y15" s="26" t="str">
        <f t="shared" si="1"/>
        <v>lundi</v>
      </c>
      <c r="Z15" s="26" t="str">
        <f t="shared" si="2"/>
        <v>08</v>
      </c>
      <c r="AA15" s="26" t="str">
        <f t="shared" si="5"/>
        <v>04</v>
      </c>
      <c r="AB15" s="26" t="str">
        <f t="shared" si="3"/>
        <v>2024</v>
      </c>
    </row>
    <row r="16" spans="1:28" x14ac:dyDescent="0.25">
      <c r="A16" s="30">
        <v>45390</v>
      </c>
      <c r="B16" s="26" t="s">
        <v>23</v>
      </c>
      <c r="C16" s="26" t="s">
        <v>2</v>
      </c>
      <c r="D16" s="26" t="s">
        <v>33</v>
      </c>
      <c r="E16" s="26"/>
      <c r="G16" s="26"/>
      <c r="H16" s="26"/>
      <c r="I16" s="26"/>
      <c r="J16" s="30"/>
      <c r="K16" s="26"/>
      <c r="M16" s="30"/>
      <c r="O16" s="26"/>
      <c r="P16" s="31"/>
      <c r="Q16" s="31"/>
      <c r="R16" s="26"/>
      <c r="S16" s="26"/>
      <c r="T16" s="31"/>
      <c r="U16" s="26"/>
      <c r="V16" s="26">
        <f t="shared" si="0"/>
        <v>1</v>
      </c>
      <c r="W16" s="26">
        <f t="shared" si="4"/>
        <v>0</v>
      </c>
      <c r="X16" s="26">
        <f>Data_Base[[#This Row],[B.N Total]]-Data_Base[[#This Row],[Nbre Brachements exécuté]]</f>
        <v>1</v>
      </c>
      <c r="Y16" s="26" t="str">
        <f t="shared" si="1"/>
        <v>lundi</v>
      </c>
      <c r="Z16" s="26" t="str">
        <f t="shared" si="2"/>
        <v>08</v>
      </c>
      <c r="AA16" s="26" t="str">
        <f t="shared" si="5"/>
        <v>04</v>
      </c>
      <c r="AB16" s="26" t="str">
        <f t="shared" si="3"/>
        <v>2024</v>
      </c>
    </row>
    <row r="17" spans="1:28" x14ac:dyDescent="0.25">
      <c r="A17" s="30">
        <v>45390</v>
      </c>
      <c r="B17" s="26" t="s">
        <v>24</v>
      </c>
      <c r="C17" s="26" t="s">
        <v>2</v>
      </c>
      <c r="D17" s="26" t="s">
        <v>34</v>
      </c>
      <c r="E17" s="26" t="s">
        <v>142</v>
      </c>
      <c r="F17" s="28" t="s">
        <v>223</v>
      </c>
      <c r="G17" s="26" t="s">
        <v>164</v>
      </c>
      <c r="H17" s="26" t="s">
        <v>170</v>
      </c>
      <c r="I17" s="26" t="s">
        <v>164</v>
      </c>
      <c r="J17" s="30">
        <v>45397</v>
      </c>
      <c r="K17" s="26" t="s">
        <v>546</v>
      </c>
      <c r="L17" s="26" t="s">
        <v>148</v>
      </c>
      <c r="M17" s="30">
        <v>45397</v>
      </c>
      <c r="N17" s="26" t="s">
        <v>148</v>
      </c>
      <c r="O17" s="26" t="s">
        <v>141</v>
      </c>
      <c r="P17" s="31">
        <v>30</v>
      </c>
      <c r="Q17" s="31"/>
      <c r="R17" s="26" t="s">
        <v>547</v>
      </c>
      <c r="S17" s="26" t="s">
        <v>548</v>
      </c>
      <c r="T17" s="31" t="s">
        <v>549</v>
      </c>
      <c r="U17" s="26" t="s">
        <v>550</v>
      </c>
      <c r="V17" s="26">
        <f t="shared" si="0"/>
        <v>1</v>
      </c>
      <c r="W17" s="26">
        <f t="shared" si="4"/>
        <v>1</v>
      </c>
      <c r="X17" s="26">
        <f>Data_Base[[#This Row],[B.N Total]]-Data_Base[[#This Row],[Nbre Brachements exécuté]]</f>
        <v>0</v>
      </c>
      <c r="Y17" s="26" t="str">
        <f t="shared" si="1"/>
        <v>lundi</v>
      </c>
      <c r="Z17" s="26" t="str">
        <f t="shared" si="2"/>
        <v>08</v>
      </c>
      <c r="AA17" s="26" t="str">
        <f t="shared" si="5"/>
        <v>04</v>
      </c>
      <c r="AB17" s="26" t="str">
        <f t="shared" si="3"/>
        <v>2024</v>
      </c>
    </row>
    <row r="18" spans="1:28" x14ac:dyDescent="0.25">
      <c r="A18" s="30">
        <v>45390</v>
      </c>
      <c r="B18" s="26" t="s">
        <v>25</v>
      </c>
      <c r="C18" s="26" t="s">
        <v>2</v>
      </c>
      <c r="D18" s="26" t="s">
        <v>35</v>
      </c>
      <c r="E18" s="26" t="s">
        <v>142</v>
      </c>
      <c r="F18" s="28" t="s">
        <v>224</v>
      </c>
      <c r="G18" s="26" t="s">
        <v>160</v>
      </c>
      <c r="H18" s="26" t="s">
        <v>161</v>
      </c>
      <c r="I18" s="26" t="s">
        <v>160</v>
      </c>
      <c r="J18" s="30">
        <v>45394</v>
      </c>
      <c r="K18" s="26" t="s">
        <v>546</v>
      </c>
      <c r="L18" s="26" t="s">
        <v>147</v>
      </c>
      <c r="M18" s="30">
        <v>45394</v>
      </c>
      <c r="N18" s="26" t="s">
        <v>147</v>
      </c>
      <c r="O18" s="26" t="s">
        <v>141</v>
      </c>
      <c r="P18" s="31">
        <v>30</v>
      </c>
      <c r="Q18" s="31"/>
      <c r="R18" s="26" t="s">
        <v>547</v>
      </c>
      <c r="S18" s="26" t="s">
        <v>548</v>
      </c>
      <c r="T18" s="31" t="s">
        <v>549</v>
      </c>
      <c r="U18" s="26" t="s">
        <v>550</v>
      </c>
      <c r="V18" s="26">
        <f t="shared" si="0"/>
        <v>1</v>
      </c>
      <c r="W18" s="26">
        <f t="shared" si="4"/>
        <v>1</v>
      </c>
      <c r="X18" s="26">
        <f>Data_Base[[#This Row],[B.N Total]]-Data_Base[[#This Row],[Nbre Brachements exécuté]]</f>
        <v>0</v>
      </c>
      <c r="Y18" s="26" t="str">
        <f t="shared" si="1"/>
        <v>lundi</v>
      </c>
      <c r="Z18" s="26" t="str">
        <f t="shared" si="2"/>
        <v>08</v>
      </c>
      <c r="AA18" s="26" t="str">
        <f t="shared" si="5"/>
        <v>04</v>
      </c>
      <c r="AB18" s="26" t="str">
        <f t="shared" si="3"/>
        <v>2024</v>
      </c>
    </row>
    <row r="19" spans="1:28" x14ac:dyDescent="0.25">
      <c r="A19" s="30">
        <v>45390</v>
      </c>
      <c r="B19" s="26" t="s">
        <v>26</v>
      </c>
      <c r="C19" s="26" t="s">
        <v>2</v>
      </c>
      <c r="D19" s="26" t="s">
        <v>36</v>
      </c>
      <c r="E19" s="26" t="s">
        <v>142</v>
      </c>
      <c r="F19" s="28" t="s">
        <v>227</v>
      </c>
      <c r="G19" s="26" t="s">
        <v>164</v>
      </c>
      <c r="H19" s="26" t="s">
        <v>170</v>
      </c>
      <c r="I19" s="26" t="s">
        <v>164</v>
      </c>
      <c r="J19" s="30">
        <v>45394</v>
      </c>
      <c r="K19" s="26" t="s">
        <v>546</v>
      </c>
      <c r="L19" s="26" t="s">
        <v>226</v>
      </c>
      <c r="M19" s="30">
        <v>45394</v>
      </c>
      <c r="N19" s="26" t="s">
        <v>226</v>
      </c>
      <c r="O19" s="26" t="s">
        <v>141</v>
      </c>
      <c r="P19" s="31">
        <v>10</v>
      </c>
      <c r="Q19" s="31"/>
      <c r="R19" s="26" t="s">
        <v>547</v>
      </c>
      <c r="S19" s="26" t="s">
        <v>548</v>
      </c>
      <c r="T19" s="31" t="s">
        <v>549</v>
      </c>
      <c r="U19" s="26" t="s">
        <v>550</v>
      </c>
      <c r="V19" s="26">
        <f t="shared" si="0"/>
        <v>1</v>
      </c>
      <c r="W19" s="26">
        <f t="shared" si="4"/>
        <v>1</v>
      </c>
      <c r="X19" s="26">
        <f>Data_Base[[#This Row],[B.N Total]]-Data_Base[[#This Row],[Nbre Brachements exécuté]]</f>
        <v>0</v>
      </c>
      <c r="Y19" s="26" t="str">
        <f t="shared" si="1"/>
        <v>lundi</v>
      </c>
      <c r="Z19" s="26" t="str">
        <f t="shared" si="2"/>
        <v>08</v>
      </c>
      <c r="AA19" s="26" t="str">
        <f t="shared" si="5"/>
        <v>04</v>
      </c>
      <c r="AB19" s="26" t="str">
        <f t="shared" si="3"/>
        <v>2024</v>
      </c>
    </row>
    <row r="20" spans="1:28" x14ac:dyDescent="0.25">
      <c r="A20" s="30">
        <v>45390</v>
      </c>
      <c r="B20" s="26" t="s">
        <v>27</v>
      </c>
      <c r="C20" s="26" t="s">
        <v>2</v>
      </c>
      <c r="D20" s="26" t="s">
        <v>37</v>
      </c>
      <c r="E20" s="26"/>
      <c r="G20" s="26"/>
      <c r="H20" s="26"/>
      <c r="I20" s="26"/>
      <c r="J20" s="30"/>
      <c r="K20" s="26"/>
      <c r="M20" s="30"/>
      <c r="O20" s="26"/>
      <c r="P20" s="31"/>
      <c r="Q20" s="31"/>
      <c r="R20" s="26"/>
      <c r="S20" s="26"/>
      <c r="T20" s="31"/>
      <c r="U20" s="26"/>
      <c r="V20" s="26">
        <f t="shared" si="0"/>
        <v>1</v>
      </c>
      <c r="W20" s="26">
        <f t="shared" si="4"/>
        <v>0</v>
      </c>
      <c r="X20" s="26">
        <f>Data_Base[[#This Row],[B.N Total]]-Data_Base[[#This Row],[Nbre Brachements exécuté]]</f>
        <v>1</v>
      </c>
      <c r="Y20" s="26" t="str">
        <f t="shared" si="1"/>
        <v>lundi</v>
      </c>
      <c r="Z20" s="26" t="str">
        <f t="shared" si="2"/>
        <v>08</v>
      </c>
      <c r="AA20" s="26" t="str">
        <f t="shared" si="5"/>
        <v>04</v>
      </c>
      <c r="AB20" s="26" t="str">
        <f t="shared" si="3"/>
        <v>2024</v>
      </c>
    </row>
    <row r="21" spans="1:28" x14ac:dyDescent="0.25">
      <c r="A21" s="30">
        <v>45390</v>
      </c>
      <c r="B21" s="26" t="s">
        <v>28</v>
      </c>
      <c r="C21" s="26" t="s">
        <v>2</v>
      </c>
      <c r="D21" s="26" t="s">
        <v>38</v>
      </c>
      <c r="E21" s="26" t="s">
        <v>142</v>
      </c>
      <c r="F21" s="28" t="s">
        <v>555</v>
      </c>
      <c r="G21" s="26" t="s">
        <v>160</v>
      </c>
      <c r="H21" s="26" t="s">
        <v>344</v>
      </c>
      <c r="I21" s="26" t="s">
        <v>556</v>
      </c>
      <c r="J21" s="30">
        <v>45419</v>
      </c>
      <c r="K21" s="26" t="s">
        <v>546</v>
      </c>
      <c r="L21" s="26" t="s">
        <v>557</v>
      </c>
      <c r="M21" s="30">
        <v>45419</v>
      </c>
      <c r="N21" s="26" t="s">
        <v>558</v>
      </c>
      <c r="O21" s="26" t="s">
        <v>559</v>
      </c>
      <c r="P21" s="31">
        <v>30</v>
      </c>
      <c r="Q21" s="31"/>
      <c r="R21" s="26"/>
      <c r="S21" s="26"/>
      <c r="T21" s="31"/>
      <c r="U21" s="26"/>
      <c r="V21" s="26">
        <f t="shared" si="0"/>
        <v>1</v>
      </c>
      <c r="W21" s="26">
        <f t="shared" si="4"/>
        <v>1</v>
      </c>
      <c r="X21" s="26">
        <f>Data_Base[[#This Row],[B.N Total]]-Data_Base[[#This Row],[Nbre Brachements exécuté]]</f>
        <v>0</v>
      </c>
      <c r="Y21" s="26" t="str">
        <f t="shared" si="1"/>
        <v>lundi</v>
      </c>
      <c r="Z21" s="26" t="str">
        <f t="shared" si="2"/>
        <v>08</v>
      </c>
      <c r="AA21" s="26" t="str">
        <f t="shared" si="5"/>
        <v>04</v>
      </c>
      <c r="AB21" s="26" t="str">
        <f t="shared" si="3"/>
        <v>2024</v>
      </c>
    </row>
    <row r="22" spans="1:28" x14ac:dyDescent="0.25">
      <c r="A22" s="30">
        <v>45390</v>
      </c>
      <c r="B22" s="26" t="s">
        <v>28</v>
      </c>
      <c r="C22" s="26" t="s">
        <v>2</v>
      </c>
      <c r="D22" s="26" t="s">
        <v>39</v>
      </c>
      <c r="E22" s="26" t="s">
        <v>142</v>
      </c>
      <c r="F22" s="28" t="s">
        <v>555</v>
      </c>
      <c r="G22" s="26" t="s">
        <v>160</v>
      </c>
      <c r="H22" s="26" t="s">
        <v>344</v>
      </c>
      <c r="I22" s="26" t="s">
        <v>556</v>
      </c>
      <c r="J22" s="30">
        <v>45394</v>
      </c>
      <c r="K22" s="26" t="s">
        <v>546</v>
      </c>
      <c r="L22" s="26" t="s">
        <v>560</v>
      </c>
      <c r="M22" s="30">
        <v>45394</v>
      </c>
      <c r="N22" s="26" t="s">
        <v>557</v>
      </c>
      <c r="O22" s="26" t="s">
        <v>141</v>
      </c>
      <c r="P22" s="31">
        <v>30</v>
      </c>
      <c r="Q22" s="31"/>
      <c r="R22" s="26" t="s">
        <v>547</v>
      </c>
      <c r="S22" s="26" t="s">
        <v>548</v>
      </c>
      <c r="T22" s="31" t="s">
        <v>549</v>
      </c>
      <c r="U22" s="26" t="s">
        <v>550</v>
      </c>
      <c r="V22" s="26">
        <f t="shared" si="0"/>
        <v>1</v>
      </c>
      <c r="W22" s="26">
        <f t="shared" si="4"/>
        <v>1</v>
      </c>
      <c r="X22" s="26">
        <f>Data_Base[[#This Row],[B.N Total]]-Data_Base[[#This Row],[Nbre Brachements exécuté]]</f>
        <v>0</v>
      </c>
      <c r="Y22" s="26" t="str">
        <f t="shared" si="1"/>
        <v>lundi</v>
      </c>
      <c r="Z22" s="26" t="str">
        <f t="shared" si="2"/>
        <v>08</v>
      </c>
      <c r="AA22" s="26" t="str">
        <f t="shared" si="5"/>
        <v>04</v>
      </c>
      <c r="AB22" s="26" t="str">
        <f t="shared" si="3"/>
        <v>2024</v>
      </c>
    </row>
    <row r="23" spans="1:28" x14ac:dyDescent="0.25">
      <c r="A23" s="30">
        <v>45390</v>
      </c>
      <c r="B23" s="26" t="s">
        <v>28</v>
      </c>
      <c r="C23" s="26" t="s">
        <v>2</v>
      </c>
      <c r="D23" s="26" t="s">
        <v>561</v>
      </c>
      <c r="E23" s="26" t="s">
        <v>142</v>
      </c>
      <c r="F23" s="28" t="s">
        <v>555</v>
      </c>
      <c r="G23" s="26" t="s">
        <v>160</v>
      </c>
      <c r="H23" s="26" t="s">
        <v>344</v>
      </c>
      <c r="I23" s="26" t="s">
        <v>556</v>
      </c>
      <c r="J23" s="30">
        <v>45419</v>
      </c>
      <c r="K23" s="26" t="s">
        <v>546</v>
      </c>
      <c r="L23" s="26" t="s">
        <v>558</v>
      </c>
      <c r="M23" s="30">
        <v>45419</v>
      </c>
      <c r="N23" s="26" t="s">
        <v>562</v>
      </c>
      <c r="O23" s="26" t="s">
        <v>559</v>
      </c>
      <c r="P23" s="31">
        <v>30</v>
      </c>
      <c r="Q23" s="31"/>
      <c r="R23" s="26"/>
      <c r="S23" s="26"/>
      <c r="T23" s="31"/>
      <c r="U23" s="26"/>
      <c r="V23" s="26">
        <f t="shared" si="0"/>
        <v>1</v>
      </c>
      <c r="W23" s="26">
        <f t="shared" si="4"/>
        <v>1</v>
      </c>
      <c r="X23" s="26">
        <f>Data_Base[[#This Row],[B.N Total]]-Data_Base[[#This Row],[Nbre Brachements exécuté]]</f>
        <v>0</v>
      </c>
      <c r="Y23" s="26" t="str">
        <f t="shared" si="1"/>
        <v>lundi</v>
      </c>
      <c r="Z23" s="26" t="str">
        <f t="shared" si="2"/>
        <v>08</v>
      </c>
      <c r="AA23" s="26" t="str">
        <f t="shared" si="5"/>
        <v>04</v>
      </c>
      <c r="AB23" s="26" t="str">
        <f t="shared" si="3"/>
        <v>2024</v>
      </c>
    </row>
    <row r="24" spans="1:28" x14ac:dyDescent="0.25">
      <c r="A24" s="30">
        <v>45390</v>
      </c>
      <c r="B24" s="26" t="s">
        <v>28</v>
      </c>
      <c r="C24" s="26" t="s">
        <v>2</v>
      </c>
      <c r="D24" s="26" t="s">
        <v>563</v>
      </c>
      <c r="E24" s="26" t="s">
        <v>142</v>
      </c>
      <c r="F24" s="28" t="s">
        <v>555</v>
      </c>
      <c r="G24" s="26" t="s">
        <v>160</v>
      </c>
      <c r="H24" s="26" t="s">
        <v>344</v>
      </c>
      <c r="I24" s="26" t="s">
        <v>556</v>
      </c>
      <c r="J24" s="30">
        <v>45419</v>
      </c>
      <c r="K24" s="26" t="s">
        <v>546</v>
      </c>
      <c r="L24" s="26" t="s">
        <v>562</v>
      </c>
      <c r="M24" s="30">
        <v>45419</v>
      </c>
      <c r="N24" s="26" t="s">
        <v>562</v>
      </c>
      <c r="O24" s="26" t="s">
        <v>559</v>
      </c>
      <c r="P24" s="31">
        <v>30</v>
      </c>
      <c r="Q24" s="31">
        <v>10</v>
      </c>
      <c r="R24" s="26" t="s">
        <v>547</v>
      </c>
      <c r="S24" s="26"/>
      <c r="T24" s="31"/>
      <c r="U24" s="26"/>
      <c r="V24" s="26">
        <f t="shared" si="0"/>
        <v>1</v>
      </c>
      <c r="W24" s="26">
        <f t="shared" si="4"/>
        <v>1</v>
      </c>
      <c r="X24" s="26">
        <f>Data_Base[[#This Row],[B.N Total]]-Data_Base[[#This Row],[Nbre Brachements exécuté]]</f>
        <v>0</v>
      </c>
      <c r="Y24" s="26" t="str">
        <f t="shared" si="1"/>
        <v>lundi</v>
      </c>
      <c r="Z24" s="26" t="str">
        <f t="shared" si="2"/>
        <v>08</v>
      </c>
      <c r="AA24" s="26" t="str">
        <f t="shared" si="5"/>
        <v>04</v>
      </c>
      <c r="AB24" s="26" t="str">
        <f t="shared" si="3"/>
        <v>2024</v>
      </c>
    </row>
    <row r="25" spans="1:28" x14ac:dyDescent="0.25">
      <c r="A25" s="30">
        <v>45391</v>
      </c>
      <c r="B25" s="26" t="s">
        <v>72</v>
      </c>
      <c r="C25" s="26" t="s">
        <v>66</v>
      </c>
      <c r="D25" s="26" t="s">
        <v>83</v>
      </c>
      <c r="E25" s="26" t="s">
        <v>142</v>
      </c>
      <c r="F25" s="28" t="s">
        <v>327</v>
      </c>
      <c r="G25" s="26" t="s">
        <v>164</v>
      </c>
      <c r="H25" s="26" t="s">
        <v>328</v>
      </c>
      <c r="I25" s="26" t="s">
        <v>164</v>
      </c>
      <c r="J25" s="30">
        <v>45394</v>
      </c>
      <c r="K25" s="26" t="s">
        <v>546</v>
      </c>
      <c r="L25" s="26" t="s">
        <v>326</v>
      </c>
      <c r="M25" s="30">
        <v>45394</v>
      </c>
      <c r="N25" s="26" t="s">
        <v>326</v>
      </c>
      <c r="O25" s="26" t="s">
        <v>141</v>
      </c>
      <c r="P25" s="31">
        <v>15</v>
      </c>
      <c r="Q25" s="31"/>
      <c r="R25" s="26" t="s">
        <v>547</v>
      </c>
      <c r="S25" s="26" t="s">
        <v>548</v>
      </c>
      <c r="T25" s="31" t="s">
        <v>549</v>
      </c>
      <c r="U25" s="26" t="s">
        <v>550</v>
      </c>
      <c r="V25" s="26">
        <f t="shared" si="0"/>
        <v>1</v>
      </c>
      <c r="W25" s="26">
        <f t="shared" si="4"/>
        <v>1</v>
      </c>
      <c r="X25" s="26">
        <f>Data_Base[[#This Row],[B.N Total]]-Data_Base[[#This Row],[Nbre Brachements exécuté]]</f>
        <v>0</v>
      </c>
      <c r="Y25" s="26" t="str">
        <f t="shared" si="1"/>
        <v>mardi</v>
      </c>
      <c r="Z25" s="26" t="str">
        <f t="shared" si="2"/>
        <v>09</v>
      </c>
      <c r="AA25" s="26" t="str">
        <f t="shared" si="5"/>
        <v>04</v>
      </c>
      <c r="AB25" s="26" t="str">
        <f t="shared" si="3"/>
        <v>2024</v>
      </c>
    </row>
    <row r="26" spans="1:28" x14ac:dyDescent="0.25">
      <c r="A26" s="30">
        <v>45393</v>
      </c>
      <c r="B26" s="26" t="s">
        <v>67</v>
      </c>
      <c r="C26" s="26" t="s">
        <v>66</v>
      </c>
      <c r="D26" s="26" t="s">
        <v>50</v>
      </c>
      <c r="E26" s="26" t="s">
        <v>723</v>
      </c>
      <c r="F26" s="28" t="s">
        <v>1140</v>
      </c>
      <c r="G26" s="26" t="s">
        <v>160</v>
      </c>
      <c r="H26" s="26" t="s">
        <v>161</v>
      </c>
      <c r="I26" s="26" t="s">
        <v>586</v>
      </c>
      <c r="J26" s="30"/>
      <c r="K26" s="26"/>
      <c r="M26" s="30"/>
      <c r="O26" s="26"/>
      <c r="P26" s="31"/>
      <c r="Q26" s="31"/>
      <c r="R26" s="26"/>
      <c r="S26" s="26"/>
      <c r="T26" s="31"/>
      <c r="U26" s="26"/>
      <c r="V26" s="26">
        <f t="shared" si="0"/>
        <v>1</v>
      </c>
      <c r="W26" s="26">
        <f t="shared" si="4"/>
        <v>0</v>
      </c>
      <c r="X26" s="26">
        <f>Data_Base[[#This Row],[B.N Total]]-Data_Base[[#This Row],[Nbre Brachements exécuté]]</f>
        <v>1</v>
      </c>
      <c r="Y26" s="26" t="str">
        <f t="shared" si="1"/>
        <v>jeudi</v>
      </c>
      <c r="Z26" s="26" t="str">
        <f t="shared" si="2"/>
        <v>11</v>
      </c>
      <c r="AA26" s="26" t="str">
        <f t="shared" si="5"/>
        <v>04</v>
      </c>
      <c r="AB26" s="26" t="str">
        <f t="shared" si="3"/>
        <v>2024</v>
      </c>
    </row>
    <row r="27" spans="1:28" x14ac:dyDescent="0.25">
      <c r="A27" s="30">
        <v>45393</v>
      </c>
      <c r="B27" s="26" t="s">
        <v>68</v>
      </c>
      <c r="C27" s="26" t="s">
        <v>66</v>
      </c>
      <c r="D27" s="26" t="s">
        <v>51</v>
      </c>
      <c r="E27" s="26" t="s">
        <v>142</v>
      </c>
      <c r="F27" s="28" t="s">
        <v>229</v>
      </c>
      <c r="G27" s="26" t="s">
        <v>164</v>
      </c>
      <c r="H27" s="26" t="s">
        <v>170</v>
      </c>
      <c r="I27" s="26" t="s">
        <v>164</v>
      </c>
      <c r="J27" s="30">
        <v>45394</v>
      </c>
      <c r="K27" s="26" t="s">
        <v>546</v>
      </c>
      <c r="L27" s="26" t="s">
        <v>228</v>
      </c>
      <c r="M27" s="30">
        <v>45394</v>
      </c>
      <c r="N27" s="26" t="s">
        <v>228</v>
      </c>
      <c r="O27" s="26" t="s">
        <v>141</v>
      </c>
      <c r="P27" s="31">
        <v>15</v>
      </c>
      <c r="Q27" s="31"/>
      <c r="R27" s="26" t="s">
        <v>547</v>
      </c>
      <c r="S27" s="26" t="s">
        <v>548</v>
      </c>
      <c r="T27" s="31" t="s">
        <v>549</v>
      </c>
      <c r="U27" s="26" t="s">
        <v>550</v>
      </c>
      <c r="V27" s="26">
        <f t="shared" si="0"/>
        <v>1</v>
      </c>
      <c r="W27" s="26">
        <f t="shared" si="4"/>
        <v>1</v>
      </c>
      <c r="X27" s="26">
        <f>Data_Base[[#This Row],[B.N Total]]-Data_Base[[#This Row],[Nbre Brachements exécuté]]</f>
        <v>0</v>
      </c>
      <c r="Y27" s="26" t="str">
        <f t="shared" si="1"/>
        <v>jeudi</v>
      </c>
      <c r="Z27" s="26" t="str">
        <f t="shared" si="2"/>
        <v>11</v>
      </c>
      <c r="AA27" s="26" t="str">
        <f t="shared" si="5"/>
        <v>04</v>
      </c>
      <c r="AB27" s="26" t="str">
        <f t="shared" si="3"/>
        <v>2024</v>
      </c>
    </row>
    <row r="28" spans="1:28" x14ac:dyDescent="0.25">
      <c r="A28" s="30">
        <v>45393</v>
      </c>
      <c r="B28" s="26" t="s">
        <v>69</v>
      </c>
      <c r="C28" s="26" t="s">
        <v>66</v>
      </c>
      <c r="D28" s="26" t="s">
        <v>52</v>
      </c>
      <c r="E28" s="26" t="s">
        <v>142</v>
      </c>
      <c r="F28" s="28" t="s">
        <v>231</v>
      </c>
      <c r="G28" s="26" t="s">
        <v>164</v>
      </c>
      <c r="H28" s="26" t="s">
        <v>170</v>
      </c>
      <c r="I28" s="26" t="s">
        <v>164</v>
      </c>
      <c r="J28" s="30">
        <v>45394</v>
      </c>
      <c r="K28" s="26" t="s">
        <v>546</v>
      </c>
      <c r="L28" s="26" t="s">
        <v>230</v>
      </c>
      <c r="M28" s="30">
        <v>45394</v>
      </c>
      <c r="N28" s="26" t="s">
        <v>230</v>
      </c>
      <c r="O28" s="26" t="s">
        <v>141</v>
      </c>
      <c r="P28" s="31">
        <v>15</v>
      </c>
      <c r="Q28" s="31"/>
      <c r="R28" s="26" t="s">
        <v>547</v>
      </c>
      <c r="S28" s="26" t="s">
        <v>548</v>
      </c>
      <c r="T28" s="31" t="s">
        <v>549</v>
      </c>
      <c r="U28" s="26" t="s">
        <v>550</v>
      </c>
      <c r="V28" s="26">
        <f t="shared" si="0"/>
        <v>1</v>
      </c>
      <c r="W28" s="26">
        <f t="shared" si="4"/>
        <v>1</v>
      </c>
      <c r="X28" s="26">
        <f>Data_Base[[#This Row],[B.N Total]]-Data_Base[[#This Row],[Nbre Brachements exécuté]]</f>
        <v>0</v>
      </c>
      <c r="Y28" s="26" t="str">
        <f t="shared" si="1"/>
        <v>jeudi</v>
      </c>
      <c r="Z28" s="26" t="str">
        <f t="shared" si="2"/>
        <v>11</v>
      </c>
      <c r="AA28" s="26" t="str">
        <f t="shared" si="5"/>
        <v>04</v>
      </c>
      <c r="AB28" s="26" t="str">
        <f t="shared" si="3"/>
        <v>2024</v>
      </c>
    </row>
    <row r="29" spans="1:28" x14ac:dyDescent="0.25">
      <c r="A29" s="30">
        <v>45393</v>
      </c>
      <c r="B29" s="26" t="s">
        <v>23</v>
      </c>
      <c r="C29" s="26" t="s">
        <v>66</v>
      </c>
      <c r="E29" s="26"/>
      <c r="G29" s="26"/>
      <c r="H29" s="26"/>
      <c r="I29" s="26"/>
      <c r="J29" s="30"/>
      <c r="K29" s="26"/>
      <c r="M29" s="30"/>
      <c r="O29" s="26"/>
      <c r="P29" s="31"/>
      <c r="Q29" s="31"/>
      <c r="R29" s="26"/>
      <c r="S29" s="26"/>
      <c r="T29" s="31"/>
      <c r="U29" s="26"/>
      <c r="V29" s="26">
        <f t="shared" si="0"/>
        <v>1</v>
      </c>
      <c r="W29" s="26">
        <f t="shared" si="4"/>
        <v>0</v>
      </c>
      <c r="X29" s="26">
        <f>Data_Base[[#This Row],[B.N Total]]-Data_Base[[#This Row],[Nbre Brachements exécuté]]</f>
        <v>1</v>
      </c>
      <c r="Y29" s="26" t="str">
        <f t="shared" si="1"/>
        <v>jeudi</v>
      </c>
      <c r="Z29" s="26" t="str">
        <f t="shared" si="2"/>
        <v>11</v>
      </c>
      <c r="AA29" s="26" t="str">
        <f t="shared" si="5"/>
        <v>04</v>
      </c>
      <c r="AB29" s="26" t="str">
        <f t="shared" si="3"/>
        <v>2024</v>
      </c>
    </row>
    <row r="30" spans="1:28" x14ac:dyDescent="0.25">
      <c r="A30" s="30">
        <v>45393</v>
      </c>
      <c r="B30" s="26" t="s">
        <v>70</v>
      </c>
      <c r="C30" s="26" t="s">
        <v>66</v>
      </c>
      <c r="D30" s="26" t="s">
        <v>33</v>
      </c>
      <c r="E30" s="26"/>
      <c r="G30" s="26"/>
      <c r="H30" s="26"/>
      <c r="I30" s="26"/>
      <c r="J30" s="30"/>
      <c r="K30" s="26"/>
      <c r="M30" s="30"/>
      <c r="O30" s="26"/>
      <c r="P30" s="31"/>
      <c r="Q30" s="31"/>
      <c r="R30" s="26"/>
      <c r="S30" s="26"/>
      <c r="T30" s="31"/>
      <c r="U30" s="26"/>
      <c r="V30" s="26">
        <f t="shared" si="0"/>
        <v>1</v>
      </c>
      <c r="W30" s="26">
        <f t="shared" si="4"/>
        <v>0</v>
      </c>
      <c r="X30" s="26">
        <f>Data_Base[[#This Row],[B.N Total]]-Data_Base[[#This Row],[Nbre Brachements exécuté]]</f>
        <v>1</v>
      </c>
      <c r="Y30" s="26" t="str">
        <f t="shared" si="1"/>
        <v>jeudi</v>
      </c>
      <c r="Z30" s="26" t="str">
        <f t="shared" si="2"/>
        <v>11</v>
      </c>
      <c r="AA30" s="26" t="str">
        <f t="shared" si="5"/>
        <v>04</v>
      </c>
      <c r="AB30" s="26" t="str">
        <f t="shared" si="3"/>
        <v>2024</v>
      </c>
    </row>
    <row r="31" spans="1:28" x14ac:dyDescent="0.25">
      <c r="A31" s="30">
        <v>45393</v>
      </c>
      <c r="B31" s="26" t="s">
        <v>70</v>
      </c>
      <c r="C31" s="26" t="s">
        <v>66</v>
      </c>
      <c r="D31" s="26" t="s">
        <v>53</v>
      </c>
      <c r="E31" s="26" t="s">
        <v>142</v>
      </c>
      <c r="F31" s="28" t="s">
        <v>225</v>
      </c>
      <c r="G31" s="26" t="s">
        <v>160</v>
      </c>
      <c r="H31" s="26" t="s">
        <v>177</v>
      </c>
      <c r="I31" s="26" t="s">
        <v>160</v>
      </c>
      <c r="J31" s="30">
        <v>45398</v>
      </c>
      <c r="K31" s="26" t="s">
        <v>546</v>
      </c>
      <c r="L31" s="26" t="s">
        <v>151</v>
      </c>
      <c r="M31" s="30">
        <v>45398</v>
      </c>
      <c r="N31" s="26" t="s">
        <v>151</v>
      </c>
      <c r="O31" s="26" t="s">
        <v>141</v>
      </c>
      <c r="P31" s="31">
        <v>30</v>
      </c>
      <c r="Q31" s="31"/>
      <c r="R31" s="26" t="s">
        <v>547</v>
      </c>
      <c r="S31" s="26" t="s">
        <v>548</v>
      </c>
      <c r="T31" s="31" t="s">
        <v>549</v>
      </c>
      <c r="U31" s="26" t="s">
        <v>550</v>
      </c>
      <c r="V31" s="26">
        <f t="shared" si="0"/>
        <v>1</v>
      </c>
      <c r="W31" s="26">
        <f t="shared" si="4"/>
        <v>1</v>
      </c>
      <c r="X31" s="26">
        <f>Data_Base[[#This Row],[B.N Total]]-Data_Base[[#This Row],[Nbre Brachements exécuté]]</f>
        <v>0</v>
      </c>
      <c r="Y31" s="26" t="str">
        <f t="shared" si="1"/>
        <v>jeudi</v>
      </c>
      <c r="Z31" s="26" t="str">
        <f t="shared" si="2"/>
        <v>11</v>
      </c>
      <c r="AA31" s="26" t="str">
        <f t="shared" si="5"/>
        <v>04</v>
      </c>
      <c r="AB31" s="26" t="str">
        <f t="shared" si="3"/>
        <v>2024</v>
      </c>
    </row>
    <row r="32" spans="1:28" x14ac:dyDescent="0.25">
      <c r="A32" s="30">
        <v>45393</v>
      </c>
      <c r="B32" s="26" t="s">
        <v>70</v>
      </c>
      <c r="C32" s="26" t="s">
        <v>66</v>
      </c>
      <c r="D32" s="26" t="s">
        <v>54</v>
      </c>
      <c r="E32" s="26" t="s">
        <v>142</v>
      </c>
      <c r="F32" s="28" t="s">
        <v>225</v>
      </c>
      <c r="G32" s="26" t="s">
        <v>160</v>
      </c>
      <c r="H32" s="26" t="s">
        <v>177</v>
      </c>
      <c r="I32" s="26" t="s">
        <v>160</v>
      </c>
      <c r="J32" s="30">
        <v>45398</v>
      </c>
      <c r="K32" s="26" t="s">
        <v>546</v>
      </c>
      <c r="L32" s="26" t="s">
        <v>152</v>
      </c>
      <c r="M32" s="30">
        <v>45398</v>
      </c>
      <c r="N32" s="26" t="s">
        <v>152</v>
      </c>
      <c r="O32" s="26" t="s">
        <v>141</v>
      </c>
      <c r="P32" s="31">
        <v>30</v>
      </c>
      <c r="Q32" s="31"/>
      <c r="R32" s="26" t="s">
        <v>547</v>
      </c>
      <c r="S32" s="26" t="s">
        <v>548</v>
      </c>
      <c r="T32" s="31" t="s">
        <v>549</v>
      </c>
      <c r="U32" s="26" t="s">
        <v>550</v>
      </c>
      <c r="V32" s="26">
        <f t="shared" si="0"/>
        <v>1</v>
      </c>
      <c r="W32" s="26">
        <f t="shared" si="4"/>
        <v>1</v>
      </c>
      <c r="X32" s="26">
        <f>Data_Base[[#This Row],[B.N Total]]-Data_Base[[#This Row],[Nbre Brachements exécuté]]</f>
        <v>0</v>
      </c>
      <c r="Y32" s="26" t="str">
        <f t="shared" si="1"/>
        <v>jeudi</v>
      </c>
      <c r="Z32" s="26" t="str">
        <f t="shared" si="2"/>
        <v>11</v>
      </c>
      <c r="AA32" s="26" t="str">
        <f t="shared" si="5"/>
        <v>04</v>
      </c>
      <c r="AB32" s="26" t="str">
        <f t="shared" si="3"/>
        <v>2024</v>
      </c>
    </row>
    <row r="33" spans="1:28" x14ac:dyDescent="0.25">
      <c r="A33" s="30">
        <v>45393</v>
      </c>
      <c r="B33" s="26" t="s">
        <v>70</v>
      </c>
      <c r="C33" s="26" t="s">
        <v>66</v>
      </c>
      <c r="D33" s="26" t="s">
        <v>55</v>
      </c>
      <c r="E33" s="26" t="s">
        <v>142</v>
      </c>
      <c r="F33" s="28" t="s">
        <v>225</v>
      </c>
      <c r="G33" s="26" t="s">
        <v>160</v>
      </c>
      <c r="H33" s="26" t="s">
        <v>177</v>
      </c>
      <c r="I33" s="26" t="s">
        <v>160</v>
      </c>
      <c r="J33" s="30">
        <v>45395</v>
      </c>
      <c r="K33" s="26" t="s">
        <v>546</v>
      </c>
      <c r="L33" s="26" t="s">
        <v>150</v>
      </c>
      <c r="M33" s="30">
        <v>45395</v>
      </c>
      <c r="N33" s="26" t="s">
        <v>150</v>
      </c>
      <c r="O33" s="26" t="s">
        <v>141</v>
      </c>
      <c r="P33" s="31">
        <v>30</v>
      </c>
      <c r="Q33" s="31"/>
      <c r="R33" s="26" t="s">
        <v>547</v>
      </c>
      <c r="S33" s="26" t="s">
        <v>548</v>
      </c>
      <c r="T33" s="31" t="s">
        <v>549</v>
      </c>
      <c r="U33" s="26" t="s">
        <v>550</v>
      </c>
      <c r="V33" s="26">
        <f t="shared" si="0"/>
        <v>1</v>
      </c>
      <c r="W33" s="26">
        <f t="shared" si="4"/>
        <v>1</v>
      </c>
      <c r="X33" s="26">
        <f>Data_Base[[#This Row],[B.N Total]]-Data_Base[[#This Row],[Nbre Brachements exécuté]]</f>
        <v>0</v>
      </c>
      <c r="Y33" s="26" t="str">
        <f t="shared" si="1"/>
        <v>jeudi</v>
      </c>
      <c r="Z33" s="26" t="str">
        <f t="shared" si="2"/>
        <v>11</v>
      </c>
      <c r="AA33" s="26" t="str">
        <f t="shared" si="5"/>
        <v>04</v>
      </c>
      <c r="AB33" s="26" t="str">
        <f t="shared" si="3"/>
        <v>2024</v>
      </c>
    </row>
    <row r="34" spans="1:28" x14ac:dyDescent="0.25">
      <c r="A34" s="30">
        <v>45393</v>
      </c>
      <c r="B34" s="26" t="s">
        <v>70</v>
      </c>
      <c r="C34" s="26" t="s">
        <v>66</v>
      </c>
      <c r="D34" s="26" t="s">
        <v>57</v>
      </c>
      <c r="E34" s="26" t="s">
        <v>142</v>
      </c>
      <c r="F34" s="28" t="s">
        <v>225</v>
      </c>
      <c r="G34" s="26" t="s">
        <v>160</v>
      </c>
      <c r="H34" s="26" t="s">
        <v>177</v>
      </c>
      <c r="I34" s="26" t="s">
        <v>160</v>
      </c>
      <c r="J34" s="30">
        <v>45395</v>
      </c>
      <c r="K34" s="26" t="s">
        <v>546</v>
      </c>
      <c r="L34" s="26" t="s">
        <v>149</v>
      </c>
      <c r="M34" s="30">
        <v>45395</v>
      </c>
      <c r="N34" s="26" t="s">
        <v>149</v>
      </c>
      <c r="O34" s="26" t="s">
        <v>141</v>
      </c>
      <c r="P34" s="31">
        <v>30</v>
      </c>
      <c r="Q34" s="31"/>
      <c r="R34" s="26" t="s">
        <v>547</v>
      </c>
      <c r="S34" s="26" t="s">
        <v>548</v>
      </c>
      <c r="T34" s="31" t="s">
        <v>549</v>
      </c>
      <c r="U34" s="26" t="s">
        <v>550</v>
      </c>
      <c r="V34" s="26">
        <f t="shared" si="0"/>
        <v>1</v>
      </c>
      <c r="W34" s="26">
        <f t="shared" si="4"/>
        <v>1</v>
      </c>
      <c r="X34" s="26">
        <f>Data_Base[[#This Row],[B.N Total]]-Data_Base[[#This Row],[Nbre Brachements exécuté]]</f>
        <v>0</v>
      </c>
      <c r="Y34" s="26" t="str">
        <f t="shared" si="1"/>
        <v>jeudi</v>
      </c>
      <c r="Z34" s="26" t="str">
        <f t="shared" si="2"/>
        <v>11</v>
      </c>
      <c r="AA34" s="26" t="str">
        <f t="shared" si="5"/>
        <v>04</v>
      </c>
      <c r="AB34" s="26" t="str">
        <f t="shared" si="3"/>
        <v>2024</v>
      </c>
    </row>
    <row r="35" spans="1:28" x14ac:dyDescent="0.25">
      <c r="A35" s="30">
        <v>45393</v>
      </c>
      <c r="B35" s="26" t="s">
        <v>70</v>
      </c>
      <c r="C35" s="26" t="s">
        <v>66</v>
      </c>
      <c r="D35" s="26" t="s">
        <v>56</v>
      </c>
      <c r="E35" s="26" t="s">
        <v>142</v>
      </c>
      <c r="F35" s="28" t="s">
        <v>225</v>
      </c>
      <c r="G35" s="26" t="s">
        <v>160</v>
      </c>
      <c r="H35" s="26" t="s">
        <v>177</v>
      </c>
      <c r="I35" s="26" t="s">
        <v>160</v>
      </c>
      <c r="J35" s="30">
        <v>45395</v>
      </c>
      <c r="K35" s="26" t="s">
        <v>546</v>
      </c>
      <c r="L35" s="26" t="s">
        <v>158</v>
      </c>
      <c r="M35" s="30">
        <v>45395</v>
      </c>
      <c r="N35" s="26" t="s">
        <v>158</v>
      </c>
      <c r="O35" s="26" t="s">
        <v>141</v>
      </c>
      <c r="P35" s="31">
        <v>30</v>
      </c>
      <c r="Q35" s="31"/>
      <c r="R35" s="26" t="s">
        <v>547</v>
      </c>
      <c r="S35" s="26" t="s">
        <v>548</v>
      </c>
      <c r="T35" s="31" t="s">
        <v>549</v>
      </c>
      <c r="U35" s="26" t="s">
        <v>550</v>
      </c>
      <c r="V35" s="26">
        <f t="shared" si="0"/>
        <v>1</v>
      </c>
      <c r="W35" s="26">
        <f t="shared" si="4"/>
        <v>1</v>
      </c>
      <c r="X35" s="26">
        <f>Data_Base[[#This Row],[B.N Total]]-Data_Base[[#This Row],[Nbre Brachements exécuté]]</f>
        <v>0</v>
      </c>
      <c r="Y35" s="26" t="str">
        <f t="shared" si="1"/>
        <v>jeudi</v>
      </c>
      <c r="Z35" s="26" t="str">
        <f t="shared" si="2"/>
        <v>11</v>
      </c>
      <c r="AA35" s="26" t="str">
        <f t="shared" si="5"/>
        <v>04</v>
      </c>
      <c r="AB35" s="26" t="str">
        <f t="shared" si="3"/>
        <v>2024</v>
      </c>
    </row>
    <row r="36" spans="1:28" x14ac:dyDescent="0.25">
      <c r="A36" s="30">
        <v>45393</v>
      </c>
      <c r="B36" s="26" t="s">
        <v>70</v>
      </c>
      <c r="C36" s="26" t="s">
        <v>66</v>
      </c>
      <c r="D36" s="26" t="s">
        <v>58</v>
      </c>
      <c r="E36" s="26" t="s">
        <v>142</v>
      </c>
      <c r="F36" s="28" t="s">
        <v>225</v>
      </c>
      <c r="G36" s="26" t="s">
        <v>160</v>
      </c>
      <c r="H36" s="26" t="s">
        <v>177</v>
      </c>
      <c r="I36" s="26" t="s">
        <v>160</v>
      </c>
      <c r="J36" s="30">
        <v>45399</v>
      </c>
      <c r="K36" s="26" t="s">
        <v>546</v>
      </c>
      <c r="L36" s="26" t="s">
        <v>157</v>
      </c>
      <c r="M36" s="30">
        <v>45399</v>
      </c>
      <c r="N36" s="26" t="s">
        <v>157</v>
      </c>
      <c r="O36" s="26" t="s">
        <v>141</v>
      </c>
      <c r="P36" s="31">
        <v>30</v>
      </c>
      <c r="Q36" s="31"/>
      <c r="R36" s="26" t="s">
        <v>547</v>
      </c>
      <c r="S36" s="26" t="s">
        <v>548</v>
      </c>
      <c r="T36" s="31" t="s">
        <v>549</v>
      </c>
      <c r="U36" s="26" t="s">
        <v>550</v>
      </c>
      <c r="V36" s="26">
        <f t="shared" si="0"/>
        <v>1</v>
      </c>
      <c r="W36" s="26">
        <f t="shared" si="4"/>
        <v>1</v>
      </c>
      <c r="X36" s="26">
        <f>Data_Base[[#This Row],[B.N Total]]-Data_Base[[#This Row],[Nbre Brachements exécuté]]</f>
        <v>0</v>
      </c>
      <c r="Y36" s="26" t="str">
        <f t="shared" si="1"/>
        <v>jeudi</v>
      </c>
      <c r="Z36" s="26" t="str">
        <f t="shared" si="2"/>
        <v>11</v>
      </c>
      <c r="AA36" s="26" t="str">
        <f t="shared" si="5"/>
        <v>04</v>
      </c>
      <c r="AB36" s="26" t="str">
        <f t="shared" si="3"/>
        <v>2024</v>
      </c>
    </row>
    <row r="37" spans="1:28" x14ac:dyDescent="0.25">
      <c r="A37" s="30">
        <v>45393</v>
      </c>
      <c r="B37" s="26" t="s">
        <v>70</v>
      </c>
      <c r="C37" s="26" t="s">
        <v>66</v>
      </c>
      <c r="D37" s="26" t="s">
        <v>59</v>
      </c>
      <c r="E37" s="26" t="s">
        <v>142</v>
      </c>
      <c r="F37" s="28" t="s">
        <v>225</v>
      </c>
      <c r="G37" s="26" t="s">
        <v>160</v>
      </c>
      <c r="H37" s="26" t="s">
        <v>177</v>
      </c>
      <c r="I37" s="26" t="s">
        <v>160</v>
      </c>
      <c r="J37" s="30">
        <v>45398</v>
      </c>
      <c r="K37" s="26" t="s">
        <v>546</v>
      </c>
      <c r="L37" s="26" t="s">
        <v>156</v>
      </c>
      <c r="M37" s="30">
        <v>45398</v>
      </c>
      <c r="N37" s="26" t="s">
        <v>156</v>
      </c>
      <c r="O37" s="26" t="s">
        <v>141</v>
      </c>
      <c r="P37" s="31">
        <v>30</v>
      </c>
      <c r="Q37" s="31"/>
      <c r="R37" s="26" t="s">
        <v>547</v>
      </c>
      <c r="S37" s="26" t="s">
        <v>548</v>
      </c>
      <c r="T37" s="31" t="s">
        <v>549</v>
      </c>
      <c r="U37" s="26" t="s">
        <v>550</v>
      </c>
      <c r="V37" s="26">
        <f t="shared" si="0"/>
        <v>1</v>
      </c>
      <c r="W37" s="26">
        <f t="shared" si="4"/>
        <v>1</v>
      </c>
      <c r="X37" s="26">
        <f>Data_Base[[#This Row],[B.N Total]]-Data_Base[[#This Row],[Nbre Brachements exécuté]]</f>
        <v>0</v>
      </c>
      <c r="Y37" s="26" t="str">
        <f t="shared" si="1"/>
        <v>jeudi</v>
      </c>
      <c r="Z37" s="26" t="str">
        <f t="shared" si="2"/>
        <v>11</v>
      </c>
      <c r="AA37" s="26" t="str">
        <f t="shared" si="5"/>
        <v>04</v>
      </c>
      <c r="AB37" s="26" t="str">
        <f t="shared" si="3"/>
        <v>2024</v>
      </c>
    </row>
    <row r="38" spans="1:28" x14ac:dyDescent="0.25">
      <c r="A38" s="30">
        <v>45393</v>
      </c>
      <c r="B38" s="26" t="s">
        <v>70</v>
      </c>
      <c r="C38" s="26" t="s">
        <v>66</v>
      </c>
      <c r="D38" s="26" t="s">
        <v>60</v>
      </c>
      <c r="E38" s="26" t="s">
        <v>142</v>
      </c>
      <c r="F38" s="28" t="s">
        <v>225</v>
      </c>
      <c r="G38" s="26" t="s">
        <v>160</v>
      </c>
      <c r="H38" s="26" t="s">
        <v>177</v>
      </c>
      <c r="I38" s="26" t="s">
        <v>160</v>
      </c>
      <c r="J38" s="30">
        <v>45398</v>
      </c>
      <c r="K38" s="26" t="s">
        <v>546</v>
      </c>
      <c r="L38" s="26" t="s">
        <v>155</v>
      </c>
      <c r="M38" s="30">
        <v>45398</v>
      </c>
      <c r="N38" s="26" t="s">
        <v>155</v>
      </c>
      <c r="O38" s="26" t="s">
        <v>141</v>
      </c>
      <c r="P38" s="31">
        <v>30</v>
      </c>
      <c r="Q38" s="31"/>
      <c r="R38" s="26" t="s">
        <v>547</v>
      </c>
      <c r="S38" s="26" t="s">
        <v>548</v>
      </c>
      <c r="T38" s="31" t="s">
        <v>549</v>
      </c>
      <c r="U38" s="26" t="s">
        <v>550</v>
      </c>
      <c r="V38" s="26">
        <f t="shared" si="0"/>
        <v>1</v>
      </c>
      <c r="W38" s="26">
        <f t="shared" si="4"/>
        <v>1</v>
      </c>
      <c r="X38" s="26">
        <f>Data_Base[[#This Row],[B.N Total]]-Data_Base[[#This Row],[Nbre Brachements exécuté]]</f>
        <v>0</v>
      </c>
      <c r="Y38" s="26" t="str">
        <f t="shared" si="1"/>
        <v>jeudi</v>
      </c>
      <c r="Z38" s="26" t="str">
        <f t="shared" si="2"/>
        <v>11</v>
      </c>
      <c r="AA38" s="26" t="str">
        <f t="shared" si="5"/>
        <v>04</v>
      </c>
      <c r="AB38" s="26" t="str">
        <f t="shared" si="3"/>
        <v>2024</v>
      </c>
    </row>
    <row r="39" spans="1:28" x14ac:dyDescent="0.25">
      <c r="A39" s="30">
        <v>45393</v>
      </c>
      <c r="B39" s="26" t="s">
        <v>70</v>
      </c>
      <c r="C39" s="26" t="s">
        <v>66</v>
      </c>
      <c r="D39" s="26" t="s">
        <v>61</v>
      </c>
      <c r="E39" s="26" t="s">
        <v>142</v>
      </c>
      <c r="F39" s="28" t="s">
        <v>225</v>
      </c>
      <c r="G39" s="26" t="s">
        <v>160</v>
      </c>
      <c r="H39" s="26" t="s">
        <v>177</v>
      </c>
      <c r="I39" s="26" t="s">
        <v>160</v>
      </c>
      <c r="J39" s="30">
        <v>45398</v>
      </c>
      <c r="K39" s="26" t="s">
        <v>546</v>
      </c>
      <c r="L39" s="26" t="s">
        <v>154</v>
      </c>
      <c r="M39" s="30">
        <v>45398</v>
      </c>
      <c r="N39" s="26" t="s">
        <v>154</v>
      </c>
      <c r="O39" s="26" t="s">
        <v>141</v>
      </c>
      <c r="P39" s="31">
        <v>30</v>
      </c>
      <c r="Q39" s="31"/>
      <c r="R39" s="26" t="s">
        <v>547</v>
      </c>
      <c r="S39" s="26" t="s">
        <v>548</v>
      </c>
      <c r="T39" s="31" t="s">
        <v>549</v>
      </c>
      <c r="U39" s="26" t="s">
        <v>550</v>
      </c>
      <c r="V39" s="26">
        <f t="shared" si="0"/>
        <v>1</v>
      </c>
      <c r="W39" s="26">
        <f t="shared" si="4"/>
        <v>1</v>
      </c>
      <c r="X39" s="26">
        <f>Data_Base[[#This Row],[B.N Total]]-Data_Base[[#This Row],[Nbre Brachements exécuté]]</f>
        <v>0</v>
      </c>
      <c r="Y39" s="26" t="str">
        <f t="shared" si="1"/>
        <v>jeudi</v>
      </c>
      <c r="Z39" s="26" t="str">
        <f t="shared" si="2"/>
        <v>11</v>
      </c>
      <c r="AA39" s="26" t="str">
        <f t="shared" si="5"/>
        <v>04</v>
      </c>
      <c r="AB39" s="26" t="str">
        <f t="shared" si="3"/>
        <v>2024</v>
      </c>
    </row>
    <row r="40" spans="1:28" x14ac:dyDescent="0.25">
      <c r="A40" s="30">
        <v>45393</v>
      </c>
      <c r="B40" s="26" t="s">
        <v>70</v>
      </c>
      <c r="C40" s="26" t="s">
        <v>66</v>
      </c>
      <c r="D40" s="26" t="s">
        <v>62</v>
      </c>
      <c r="E40" s="26" t="s">
        <v>142</v>
      </c>
      <c r="F40" s="28" t="s">
        <v>225</v>
      </c>
      <c r="G40" s="26" t="s">
        <v>160</v>
      </c>
      <c r="H40" s="26" t="s">
        <v>177</v>
      </c>
      <c r="I40" s="26" t="s">
        <v>160</v>
      </c>
      <c r="J40" s="30">
        <v>45398</v>
      </c>
      <c r="K40" s="26" t="s">
        <v>546</v>
      </c>
      <c r="L40" s="26" t="s">
        <v>153</v>
      </c>
      <c r="M40" s="30">
        <v>45398</v>
      </c>
      <c r="N40" s="26" t="s">
        <v>153</v>
      </c>
      <c r="O40" s="26" t="s">
        <v>141</v>
      </c>
      <c r="P40" s="31">
        <v>30</v>
      </c>
      <c r="Q40" s="31"/>
      <c r="R40" s="26" t="s">
        <v>547</v>
      </c>
      <c r="S40" s="26" t="s">
        <v>548</v>
      </c>
      <c r="T40" s="31" t="s">
        <v>549</v>
      </c>
      <c r="U40" s="26" t="s">
        <v>550</v>
      </c>
      <c r="V40" s="26">
        <f t="shared" si="0"/>
        <v>1</v>
      </c>
      <c r="W40" s="26">
        <f t="shared" si="4"/>
        <v>1</v>
      </c>
      <c r="X40" s="26">
        <f>Data_Base[[#This Row],[B.N Total]]-Data_Base[[#This Row],[Nbre Brachements exécuté]]</f>
        <v>0</v>
      </c>
      <c r="Y40" s="26" t="str">
        <f t="shared" si="1"/>
        <v>jeudi</v>
      </c>
      <c r="Z40" s="26" t="str">
        <f t="shared" si="2"/>
        <v>11</v>
      </c>
      <c r="AA40" s="26" t="str">
        <f t="shared" si="5"/>
        <v>04</v>
      </c>
      <c r="AB40" s="26" t="str">
        <f t="shared" si="3"/>
        <v>2024</v>
      </c>
    </row>
    <row r="41" spans="1:28" x14ac:dyDescent="0.25">
      <c r="A41" s="30">
        <v>45393</v>
      </c>
      <c r="B41" s="26" t="s">
        <v>71</v>
      </c>
      <c r="C41" s="26" t="s">
        <v>66</v>
      </c>
      <c r="D41" s="26" t="s">
        <v>63</v>
      </c>
      <c r="E41" s="26" t="s">
        <v>142</v>
      </c>
      <c r="F41" s="28" t="s">
        <v>564</v>
      </c>
      <c r="G41" s="26" t="s">
        <v>160</v>
      </c>
      <c r="H41" s="26" t="s">
        <v>344</v>
      </c>
      <c r="I41" s="26" t="s">
        <v>556</v>
      </c>
      <c r="J41" s="30">
        <v>45411</v>
      </c>
      <c r="K41" s="26" t="s">
        <v>546</v>
      </c>
      <c r="L41" s="26" t="s">
        <v>565</v>
      </c>
      <c r="M41" s="30">
        <v>45411</v>
      </c>
      <c r="N41" s="26" t="s">
        <v>565</v>
      </c>
      <c r="O41" s="26" t="s">
        <v>389</v>
      </c>
      <c r="P41" s="31">
        <v>30</v>
      </c>
      <c r="Q41" s="31"/>
      <c r="R41" s="26" t="s">
        <v>547</v>
      </c>
      <c r="S41" s="26"/>
      <c r="T41" s="31"/>
      <c r="U41" s="26"/>
      <c r="V41" s="26">
        <f t="shared" si="0"/>
        <v>1</v>
      </c>
      <c r="W41" s="26">
        <f t="shared" si="4"/>
        <v>1</v>
      </c>
      <c r="X41" s="26">
        <f>Data_Base[[#This Row],[B.N Total]]-Data_Base[[#This Row],[Nbre Brachements exécuté]]</f>
        <v>0</v>
      </c>
      <c r="Y41" s="26" t="str">
        <f t="shared" si="1"/>
        <v>jeudi</v>
      </c>
      <c r="Z41" s="26" t="str">
        <f t="shared" si="2"/>
        <v>11</v>
      </c>
      <c r="AA41" s="26" t="str">
        <f t="shared" si="5"/>
        <v>04</v>
      </c>
      <c r="AB41" s="26" t="str">
        <f t="shared" si="3"/>
        <v>2024</v>
      </c>
    </row>
    <row r="42" spans="1:28" x14ac:dyDescent="0.25">
      <c r="A42" s="30">
        <v>45393</v>
      </c>
      <c r="B42" s="26" t="s">
        <v>72</v>
      </c>
      <c r="C42" s="26" t="s">
        <v>66</v>
      </c>
      <c r="D42" s="26" t="s">
        <v>64</v>
      </c>
      <c r="E42" s="26"/>
      <c r="G42" s="26"/>
      <c r="H42" s="26"/>
      <c r="I42" s="26"/>
      <c r="J42" s="30"/>
      <c r="K42" s="26"/>
      <c r="M42" s="30"/>
      <c r="O42" s="26"/>
      <c r="P42" s="31"/>
      <c r="Q42" s="31"/>
      <c r="R42" s="26"/>
      <c r="S42" s="26"/>
      <c r="T42" s="31"/>
      <c r="U42" s="26"/>
      <c r="V42" s="26">
        <f t="shared" si="0"/>
        <v>1</v>
      </c>
      <c r="W42" s="26">
        <f t="shared" si="4"/>
        <v>0</v>
      </c>
      <c r="X42" s="26">
        <f>Data_Base[[#This Row],[B.N Total]]-Data_Base[[#This Row],[Nbre Brachements exécuté]]</f>
        <v>1</v>
      </c>
      <c r="Y42" s="26" t="str">
        <f t="shared" si="1"/>
        <v>jeudi</v>
      </c>
      <c r="Z42" s="26" t="str">
        <f t="shared" si="2"/>
        <v>11</v>
      </c>
      <c r="AA42" s="26" t="str">
        <f t="shared" si="5"/>
        <v>04</v>
      </c>
      <c r="AB42" s="26" t="str">
        <f t="shared" si="3"/>
        <v>2024</v>
      </c>
    </row>
    <row r="43" spans="1:28" x14ac:dyDescent="0.25">
      <c r="A43" s="30">
        <v>45393</v>
      </c>
      <c r="B43" s="26" t="s">
        <v>73</v>
      </c>
      <c r="C43" s="26" t="s">
        <v>66</v>
      </c>
      <c r="D43" s="26" t="s">
        <v>65</v>
      </c>
      <c r="E43" s="26" t="s">
        <v>142</v>
      </c>
      <c r="F43" s="28" t="s">
        <v>143</v>
      </c>
      <c r="G43" s="26" t="s">
        <v>160</v>
      </c>
      <c r="H43" s="26" t="s">
        <v>161</v>
      </c>
      <c r="I43" s="26" t="s">
        <v>160</v>
      </c>
      <c r="J43" s="30">
        <v>45398</v>
      </c>
      <c r="K43" s="26" t="s">
        <v>546</v>
      </c>
      <c r="L43" s="26" t="s">
        <v>140</v>
      </c>
      <c r="M43" s="30">
        <v>45398</v>
      </c>
      <c r="N43" s="26" t="s">
        <v>140</v>
      </c>
      <c r="O43" s="26" t="s">
        <v>141</v>
      </c>
      <c r="P43" s="31">
        <v>15</v>
      </c>
      <c r="Q43" s="31"/>
      <c r="R43" s="26" t="s">
        <v>547</v>
      </c>
      <c r="S43" s="26" t="s">
        <v>548</v>
      </c>
      <c r="T43" s="31" t="s">
        <v>549</v>
      </c>
      <c r="U43" s="26" t="s">
        <v>550</v>
      </c>
      <c r="V43" s="26">
        <f t="shared" si="0"/>
        <v>1</v>
      </c>
      <c r="W43" s="26">
        <f t="shared" si="4"/>
        <v>1</v>
      </c>
      <c r="X43" s="26">
        <f>Data_Base[[#This Row],[B.N Total]]-Data_Base[[#This Row],[Nbre Brachements exécuté]]</f>
        <v>0</v>
      </c>
      <c r="Y43" s="26" t="str">
        <f t="shared" si="1"/>
        <v>jeudi</v>
      </c>
      <c r="Z43" s="26" t="str">
        <f t="shared" si="2"/>
        <v>11</v>
      </c>
      <c r="AA43" s="26" t="str">
        <f t="shared" si="5"/>
        <v>04</v>
      </c>
      <c r="AB43" s="26" t="str">
        <f t="shared" si="3"/>
        <v>2024</v>
      </c>
    </row>
    <row r="44" spans="1:28" x14ac:dyDescent="0.25">
      <c r="A44" s="30">
        <v>45393</v>
      </c>
      <c r="B44" s="26" t="s">
        <v>75</v>
      </c>
      <c r="C44" s="26" t="s">
        <v>66</v>
      </c>
      <c r="D44" s="26" t="s">
        <v>74</v>
      </c>
      <c r="E44" s="26" t="s">
        <v>142</v>
      </c>
      <c r="F44" s="28" t="s">
        <v>320</v>
      </c>
      <c r="G44" s="26" t="s">
        <v>160</v>
      </c>
      <c r="H44" s="26" t="s">
        <v>344</v>
      </c>
      <c r="I44" s="26" t="s">
        <v>160</v>
      </c>
      <c r="J44" s="30">
        <v>45398</v>
      </c>
      <c r="K44" s="26" t="s">
        <v>546</v>
      </c>
      <c r="L44" s="26" t="s">
        <v>319</v>
      </c>
      <c r="M44" s="30">
        <v>45398</v>
      </c>
      <c r="N44" s="26" t="s">
        <v>319</v>
      </c>
      <c r="O44" s="26" t="s">
        <v>141</v>
      </c>
      <c r="P44" s="31">
        <v>30</v>
      </c>
      <c r="Q44" s="31"/>
      <c r="R44" s="26" t="s">
        <v>547</v>
      </c>
      <c r="S44" s="26" t="s">
        <v>548</v>
      </c>
      <c r="T44" s="31" t="s">
        <v>549</v>
      </c>
      <c r="U44" s="26" t="s">
        <v>550</v>
      </c>
      <c r="V44" s="26">
        <f t="shared" si="0"/>
        <v>1</v>
      </c>
      <c r="W44" s="26">
        <f t="shared" si="4"/>
        <v>1</v>
      </c>
      <c r="X44" s="26">
        <f>Data_Base[[#This Row],[B.N Total]]-Data_Base[[#This Row],[Nbre Brachements exécuté]]</f>
        <v>0</v>
      </c>
      <c r="Y44" s="26" t="str">
        <f t="shared" si="1"/>
        <v>jeudi</v>
      </c>
      <c r="Z44" s="26" t="str">
        <f t="shared" si="2"/>
        <v>11</v>
      </c>
      <c r="AA44" s="26" t="str">
        <f t="shared" si="5"/>
        <v>04</v>
      </c>
      <c r="AB44" s="26" t="str">
        <f t="shared" si="3"/>
        <v>2024</v>
      </c>
    </row>
    <row r="45" spans="1:28" x14ac:dyDescent="0.25">
      <c r="A45" s="30">
        <v>45397</v>
      </c>
      <c r="B45" s="26" t="s">
        <v>232</v>
      </c>
      <c r="C45" s="26" t="s">
        <v>3</v>
      </c>
      <c r="D45" s="26" t="s">
        <v>233</v>
      </c>
      <c r="E45" s="26" t="s">
        <v>142</v>
      </c>
      <c r="F45" s="28" t="s">
        <v>235</v>
      </c>
      <c r="G45" s="26" t="s">
        <v>164</v>
      </c>
      <c r="H45" s="26" t="s">
        <v>170</v>
      </c>
      <c r="I45" s="26" t="s">
        <v>164</v>
      </c>
      <c r="J45" s="30">
        <v>45398</v>
      </c>
      <c r="K45" s="26" t="s">
        <v>546</v>
      </c>
      <c r="L45" s="26" t="s">
        <v>234</v>
      </c>
      <c r="M45" s="30">
        <v>45398</v>
      </c>
      <c r="N45" s="26" t="s">
        <v>234</v>
      </c>
      <c r="O45" s="26" t="s">
        <v>141</v>
      </c>
      <c r="P45" s="31">
        <v>15</v>
      </c>
      <c r="Q45" s="31"/>
      <c r="R45" s="26" t="s">
        <v>547</v>
      </c>
      <c r="S45" s="26" t="s">
        <v>548</v>
      </c>
      <c r="T45" s="31" t="s">
        <v>549</v>
      </c>
      <c r="U45" s="26" t="s">
        <v>550</v>
      </c>
      <c r="V45" s="26">
        <f t="shared" si="0"/>
        <v>1</v>
      </c>
      <c r="W45" s="26">
        <f t="shared" si="4"/>
        <v>1</v>
      </c>
      <c r="X45" s="26">
        <f>Data_Base[[#This Row],[B.N Total]]-Data_Base[[#This Row],[Nbre Brachements exécuté]]</f>
        <v>0</v>
      </c>
      <c r="Y45" s="26" t="str">
        <f t="shared" si="1"/>
        <v>lundi</v>
      </c>
      <c r="Z45" s="26" t="str">
        <f t="shared" si="2"/>
        <v>15</v>
      </c>
      <c r="AA45" s="26" t="str">
        <f t="shared" si="5"/>
        <v>04</v>
      </c>
      <c r="AB45" s="26" t="str">
        <f t="shared" si="3"/>
        <v>2024</v>
      </c>
    </row>
    <row r="46" spans="1:28" x14ac:dyDescent="0.25">
      <c r="A46" s="30">
        <v>45397</v>
      </c>
      <c r="B46" s="26" t="s">
        <v>244</v>
      </c>
      <c r="C46" s="26" t="s">
        <v>3</v>
      </c>
      <c r="D46" s="26" t="s">
        <v>243</v>
      </c>
      <c r="E46" s="26" t="s">
        <v>142</v>
      </c>
      <c r="F46" s="28" t="s">
        <v>306</v>
      </c>
      <c r="G46" s="26" t="s">
        <v>160</v>
      </c>
      <c r="H46" s="26" t="s">
        <v>161</v>
      </c>
      <c r="I46" s="26" t="s">
        <v>160</v>
      </c>
      <c r="J46" s="30">
        <v>45398</v>
      </c>
      <c r="K46" s="26" t="s">
        <v>546</v>
      </c>
      <c r="L46" s="26" t="s">
        <v>305</v>
      </c>
      <c r="M46" s="30">
        <v>45398</v>
      </c>
      <c r="N46" s="26" t="s">
        <v>305</v>
      </c>
      <c r="O46" s="26" t="s">
        <v>141</v>
      </c>
      <c r="P46" s="31">
        <v>15</v>
      </c>
      <c r="Q46" s="31"/>
      <c r="R46" s="26" t="s">
        <v>547</v>
      </c>
      <c r="S46" s="26" t="s">
        <v>548</v>
      </c>
      <c r="T46" s="31" t="s">
        <v>549</v>
      </c>
      <c r="U46" s="26" t="s">
        <v>550</v>
      </c>
      <c r="V46" s="26">
        <f t="shared" si="0"/>
        <v>1</v>
      </c>
      <c r="W46" s="26">
        <f t="shared" si="4"/>
        <v>1</v>
      </c>
      <c r="X46" s="26">
        <f>Data_Base[[#This Row],[B.N Total]]-Data_Base[[#This Row],[Nbre Brachements exécuté]]</f>
        <v>0</v>
      </c>
      <c r="Y46" s="26" t="str">
        <f t="shared" si="1"/>
        <v>lundi</v>
      </c>
      <c r="Z46" s="26" t="str">
        <f t="shared" si="2"/>
        <v>15</v>
      </c>
      <c r="AA46" s="26" t="str">
        <f t="shared" si="5"/>
        <v>04</v>
      </c>
      <c r="AB46" s="26" t="str">
        <f t="shared" si="3"/>
        <v>2024</v>
      </c>
    </row>
    <row r="47" spans="1:28" x14ac:dyDescent="0.25">
      <c r="A47" s="30">
        <v>45397</v>
      </c>
      <c r="B47" s="26" t="s">
        <v>245</v>
      </c>
      <c r="C47" s="26" t="s">
        <v>2</v>
      </c>
      <c r="D47" s="26" t="s">
        <v>246</v>
      </c>
      <c r="E47" s="26"/>
      <c r="G47" s="26"/>
      <c r="H47" s="26"/>
      <c r="I47" s="26"/>
      <c r="J47" s="30"/>
      <c r="K47" s="26"/>
      <c r="M47" s="30"/>
      <c r="O47" s="26"/>
      <c r="P47" s="31"/>
      <c r="Q47" s="31"/>
      <c r="R47" s="26"/>
      <c r="S47" s="26"/>
      <c r="T47" s="31"/>
      <c r="U47" s="26"/>
      <c r="V47" s="26">
        <f t="shared" si="0"/>
        <v>1</v>
      </c>
      <c r="W47" s="26">
        <f t="shared" si="4"/>
        <v>0</v>
      </c>
      <c r="X47" s="26">
        <f>Data_Base[[#This Row],[B.N Total]]-Data_Base[[#This Row],[Nbre Brachements exécuté]]</f>
        <v>1</v>
      </c>
      <c r="Y47" s="26" t="str">
        <f t="shared" si="1"/>
        <v>lundi</v>
      </c>
      <c r="Z47" s="26" t="str">
        <f t="shared" si="2"/>
        <v>15</v>
      </c>
      <c r="AA47" s="26" t="str">
        <f t="shared" si="5"/>
        <v>04</v>
      </c>
      <c r="AB47" s="26" t="str">
        <f t="shared" si="3"/>
        <v>2024</v>
      </c>
    </row>
    <row r="48" spans="1:28" x14ac:dyDescent="0.25">
      <c r="A48" s="30">
        <v>45397</v>
      </c>
      <c r="B48" s="26" t="s">
        <v>247</v>
      </c>
      <c r="C48" s="26" t="s">
        <v>2</v>
      </c>
      <c r="D48" s="26" t="s">
        <v>248</v>
      </c>
      <c r="E48" s="26" t="s">
        <v>142</v>
      </c>
      <c r="F48" s="28" t="s">
        <v>312</v>
      </c>
      <c r="G48" s="26" t="s">
        <v>160</v>
      </c>
      <c r="H48" s="26" t="s">
        <v>325</v>
      </c>
      <c r="I48" s="26" t="s">
        <v>160</v>
      </c>
      <c r="J48" s="30">
        <v>45394</v>
      </c>
      <c r="K48" s="26" t="s">
        <v>546</v>
      </c>
      <c r="L48" s="26" t="s">
        <v>311</v>
      </c>
      <c r="M48" s="30">
        <v>45394</v>
      </c>
      <c r="N48" s="26" t="s">
        <v>311</v>
      </c>
      <c r="O48" s="26" t="s">
        <v>238</v>
      </c>
      <c r="P48" s="31">
        <v>15</v>
      </c>
      <c r="Q48" s="31"/>
      <c r="R48" s="26" t="s">
        <v>547</v>
      </c>
      <c r="S48" s="26" t="s">
        <v>548</v>
      </c>
      <c r="T48" s="31" t="s">
        <v>549</v>
      </c>
      <c r="U48" s="26" t="s">
        <v>550</v>
      </c>
      <c r="V48" s="26">
        <f t="shared" si="0"/>
        <v>1</v>
      </c>
      <c r="W48" s="26">
        <f t="shared" si="4"/>
        <v>1</v>
      </c>
      <c r="X48" s="26">
        <f>Data_Base[[#This Row],[B.N Total]]-Data_Base[[#This Row],[Nbre Brachements exécuté]]</f>
        <v>0</v>
      </c>
      <c r="Y48" s="26" t="str">
        <f t="shared" si="1"/>
        <v>lundi</v>
      </c>
      <c r="Z48" s="26" t="str">
        <f t="shared" si="2"/>
        <v>15</v>
      </c>
      <c r="AA48" s="26" t="str">
        <f t="shared" si="5"/>
        <v>04</v>
      </c>
      <c r="AB48" s="26" t="str">
        <f t="shared" si="3"/>
        <v>2024</v>
      </c>
    </row>
    <row r="49" spans="1:28" x14ac:dyDescent="0.25">
      <c r="A49" s="30">
        <v>45397</v>
      </c>
      <c r="B49" s="26" t="s">
        <v>249</v>
      </c>
      <c r="C49" s="26" t="s">
        <v>2</v>
      </c>
      <c r="D49" s="26" t="s">
        <v>250</v>
      </c>
      <c r="E49" s="26"/>
      <c r="G49" s="26"/>
      <c r="H49" s="26"/>
      <c r="I49" s="26"/>
      <c r="J49" s="30"/>
      <c r="K49" s="26"/>
      <c r="M49" s="30"/>
      <c r="O49" s="26"/>
      <c r="P49" s="31"/>
      <c r="Q49" s="31"/>
      <c r="R49" s="26"/>
      <c r="S49" s="26"/>
      <c r="T49" s="31"/>
      <c r="U49" s="26"/>
      <c r="V49" s="26">
        <f t="shared" si="0"/>
        <v>1</v>
      </c>
      <c r="W49" s="26">
        <f t="shared" si="4"/>
        <v>0</v>
      </c>
      <c r="X49" s="26">
        <f>Data_Base[[#This Row],[B.N Total]]-Data_Base[[#This Row],[Nbre Brachements exécuté]]</f>
        <v>1</v>
      </c>
      <c r="Y49" s="26" t="str">
        <f t="shared" si="1"/>
        <v>lundi</v>
      </c>
      <c r="Z49" s="26" t="str">
        <f t="shared" si="2"/>
        <v>15</v>
      </c>
      <c r="AA49" s="26" t="str">
        <f t="shared" si="5"/>
        <v>04</v>
      </c>
      <c r="AB49" s="26" t="str">
        <f t="shared" si="3"/>
        <v>2024</v>
      </c>
    </row>
    <row r="50" spans="1:28" x14ac:dyDescent="0.25">
      <c r="A50" s="30">
        <v>45397</v>
      </c>
      <c r="B50" s="26" t="s">
        <v>251</v>
      </c>
      <c r="C50" s="26" t="s">
        <v>2</v>
      </c>
      <c r="D50" s="26" t="s">
        <v>252</v>
      </c>
      <c r="E50" s="26"/>
      <c r="G50" s="26"/>
      <c r="H50" s="26"/>
      <c r="I50" s="26"/>
      <c r="J50" s="30"/>
      <c r="K50" s="26"/>
      <c r="M50" s="30"/>
      <c r="O50" s="26"/>
      <c r="P50" s="31"/>
      <c r="Q50" s="31"/>
      <c r="R50" s="26"/>
      <c r="S50" s="26"/>
      <c r="T50" s="31"/>
      <c r="U50" s="26"/>
      <c r="V50" s="26">
        <f t="shared" si="0"/>
        <v>1</v>
      </c>
      <c r="W50" s="26">
        <f t="shared" si="4"/>
        <v>0</v>
      </c>
      <c r="X50" s="26">
        <f>Data_Base[[#This Row],[B.N Total]]-Data_Base[[#This Row],[Nbre Brachements exécuté]]</f>
        <v>1</v>
      </c>
      <c r="Y50" s="26" t="str">
        <f t="shared" si="1"/>
        <v>lundi</v>
      </c>
      <c r="Z50" s="26" t="str">
        <f t="shared" si="2"/>
        <v>15</v>
      </c>
      <c r="AA50" s="26" t="str">
        <f t="shared" si="5"/>
        <v>04</v>
      </c>
      <c r="AB50" s="26" t="str">
        <f t="shared" si="3"/>
        <v>2024</v>
      </c>
    </row>
    <row r="51" spans="1:28" x14ac:dyDescent="0.25">
      <c r="A51" s="30">
        <v>45397</v>
      </c>
      <c r="B51" s="26" t="s">
        <v>253</v>
      </c>
      <c r="C51" s="26" t="s">
        <v>2</v>
      </c>
      <c r="D51" s="26" t="s">
        <v>254</v>
      </c>
      <c r="E51" s="26"/>
      <c r="G51" s="26"/>
      <c r="H51" s="26"/>
      <c r="I51" s="26"/>
      <c r="J51" s="30"/>
      <c r="K51" s="26"/>
      <c r="M51" s="30"/>
      <c r="O51" s="26"/>
      <c r="P51" s="31"/>
      <c r="Q51" s="31"/>
      <c r="R51" s="26"/>
      <c r="S51" s="26"/>
      <c r="T51" s="31"/>
      <c r="U51" s="26"/>
      <c r="V51" s="26">
        <f t="shared" si="0"/>
        <v>1</v>
      </c>
      <c r="W51" s="26">
        <f t="shared" si="4"/>
        <v>0</v>
      </c>
      <c r="X51" s="26">
        <f>Data_Base[[#This Row],[B.N Total]]-Data_Base[[#This Row],[Nbre Brachements exécuté]]</f>
        <v>1</v>
      </c>
      <c r="Y51" s="26" t="str">
        <f t="shared" si="1"/>
        <v>lundi</v>
      </c>
      <c r="Z51" s="26" t="str">
        <f t="shared" si="2"/>
        <v>15</v>
      </c>
      <c r="AA51" s="26" t="str">
        <f t="shared" si="5"/>
        <v>04</v>
      </c>
      <c r="AB51" s="26" t="str">
        <f t="shared" si="3"/>
        <v>2024</v>
      </c>
    </row>
    <row r="52" spans="1:28" x14ac:dyDescent="0.25">
      <c r="A52" s="30">
        <v>45397</v>
      </c>
      <c r="B52" s="26" t="s">
        <v>253</v>
      </c>
      <c r="C52" s="26" t="s">
        <v>2</v>
      </c>
      <c r="D52" s="26" t="s">
        <v>255</v>
      </c>
      <c r="E52" s="26" t="s">
        <v>142</v>
      </c>
      <c r="F52" s="28" t="s">
        <v>566</v>
      </c>
      <c r="G52" s="26" t="s">
        <v>160</v>
      </c>
      <c r="H52" s="26" t="s">
        <v>567</v>
      </c>
      <c r="I52" s="26" t="s">
        <v>160</v>
      </c>
      <c r="J52" s="30">
        <v>45399</v>
      </c>
      <c r="K52" s="26" t="s">
        <v>546</v>
      </c>
      <c r="L52" s="26" t="s">
        <v>568</v>
      </c>
      <c r="M52" s="30">
        <v>45399</v>
      </c>
      <c r="N52" s="26" t="s">
        <v>568</v>
      </c>
      <c r="O52" s="26" t="s">
        <v>141</v>
      </c>
      <c r="P52" s="31">
        <v>15</v>
      </c>
      <c r="Q52" s="31"/>
      <c r="R52" s="26" t="s">
        <v>547</v>
      </c>
      <c r="S52" s="26" t="s">
        <v>548</v>
      </c>
      <c r="T52" s="31" t="s">
        <v>549</v>
      </c>
      <c r="U52" s="26" t="s">
        <v>550</v>
      </c>
      <c r="V52" s="26">
        <f t="shared" si="0"/>
        <v>1</v>
      </c>
      <c r="W52" s="26">
        <f t="shared" si="4"/>
        <v>1</v>
      </c>
      <c r="X52" s="26">
        <f>Data_Base[[#This Row],[B.N Total]]-Data_Base[[#This Row],[Nbre Brachements exécuté]]</f>
        <v>0</v>
      </c>
      <c r="Y52" s="26" t="str">
        <f t="shared" si="1"/>
        <v>lundi</v>
      </c>
      <c r="Z52" s="26" t="str">
        <f t="shared" si="2"/>
        <v>15</v>
      </c>
      <c r="AA52" s="26" t="str">
        <f t="shared" si="5"/>
        <v>04</v>
      </c>
      <c r="AB52" s="26" t="str">
        <f t="shared" si="3"/>
        <v>2024</v>
      </c>
    </row>
    <row r="53" spans="1:28" x14ac:dyDescent="0.25">
      <c r="A53" s="30">
        <v>45397</v>
      </c>
      <c r="B53" s="26" t="s">
        <v>253</v>
      </c>
      <c r="C53" s="26" t="s">
        <v>2</v>
      </c>
      <c r="D53" s="26" t="s">
        <v>256</v>
      </c>
      <c r="E53" s="26" t="s">
        <v>142</v>
      </c>
      <c r="F53" s="28" t="s">
        <v>566</v>
      </c>
      <c r="G53" s="26" t="s">
        <v>160</v>
      </c>
      <c r="H53" s="26" t="s">
        <v>567</v>
      </c>
      <c r="I53" s="26" t="s">
        <v>160</v>
      </c>
      <c r="J53" s="30">
        <v>45399</v>
      </c>
      <c r="K53" s="26" t="s">
        <v>569</v>
      </c>
      <c r="L53" s="26" t="s">
        <v>570</v>
      </c>
      <c r="M53" s="30">
        <v>45399</v>
      </c>
      <c r="N53" s="26" t="s">
        <v>571</v>
      </c>
      <c r="O53" s="26" t="s">
        <v>141</v>
      </c>
      <c r="P53" s="31">
        <v>15</v>
      </c>
      <c r="Q53" s="31"/>
      <c r="R53" s="26" t="s">
        <v>547</v>
      </c>
      <c r="S53" s="26" t="s">
        <v>548</v>
      </c>
      <c r="T53" s="31" t="s">
        <v>549</v>
      </c>
      <c r="U53" s="26" t="s">
        <v>550</v>
      </c>
      <c r="V53" s="26">
        <f t="shared" si="0"/>
        <v>1</v>
      </c>
      <c r="W53" s="26">
        <f t="shared" si="4"/>
        <v>1</v>
      </c>
      <c r="X53" s="26">
        <f>Data_Base[[#This Row],[B.N Total]]-Data_Base[[#This Row],[Nbre Brachements exécuté]]</f>
        <v>0</v>
      </c>
      <c r="Y53" s="26" t="str">
        <f t="shared" si="1"/>
        <v>lundi</v>
      </c>
      <c r="Z53" s="26" t="str">
        <f t="shared" si="2"/>
        <v>15</v>
      </c>
      <c r="AA53" s="26" t="str">
        <f t="shared" si="5"/>
        <v>04</v>
      </c>
      <c r="AB53" s="26" t="str">
        <f t="shared" si="3"/>
        <v>2024</v>
      </c>
    </row>
    <row r="54" spans="1:28" x14ac:dyDescent="0.25">
      <c r="A54" s="30">
        <v>45397</v>
      </c>
      <c r="B54" s="26" t="s">
        <v>253</v>
      </c>
      <c r="C54" s="26" t="s">
        <v>2</v>
      </c>
      <c r="D54" s="26" t="s">
        <v>257</v>
      </c>
      <c r="E54" s="26" t="s">
        <v>142</v>
      </c>
      <c r="F54" s="28" t="s">
        <v>566</v>
      </c>
      <c r="G54" s="26" t="s">
        <v>160</v>
      </c>
      <c r="H54" s="26" t="s">
        <v>567</v>
      </c>
      <c r="I54" s="26" t="s">
        <v>160</v>
      </c>
      <c r="J54" s="30">
        <v>45399</v>
      </c>
      <c r="K54" s="26" t="s">
        <v>546</v>
      </c>
      <c r="L54" s="26" t="s">
        <v>572</v>
      </c>
      <c r="M54" s="30">
        <v>45399</v>
      </c>
      <c r="N54" s="26" t="s">
        <v>572</v>
      </c>
      <c r="O54" s="26" t="s">
        <v>141</v>
      </c>
      <c r="P54" s="31">
        <v>15</v>
      </c>
      <c r="Q54" s="31"/>
      <c r="R54" s="26" t="s">
        <v>547</v>
      </c>
      <c r="S54" s="26" t="s">
        <v>548</v>
      </c>
      <c r="T54" s="31" t="s">
        <v>549</v>
      </c>
      <c r="U54" s="26" t="s">
        <v>550</v>
      </c>
      <c r="V54" s="26">
        <f t="shared" si="0"/>
        <v>1</v>
      </c>
      <c r="W54" s="26">
        <f t="shared" si="4"/>
        <v>1</v>
      </c>
      <c r="X54" s="26">
        <f>Data_Base[[#This Row],[B.N Total]]-Data_Base[[#This Row],[Nbre Brachements exécuté]]</f>
        <v>0</v>
      </c>
      <c r="Y54" s="26" t="str">
        <f t="shared" si="1"/>
        <v>lundi</v>
      </c>
      <c r="Z54" s="26" t="str">
        <f t="shared" si="2"/>
        <v>15</v>
      </c>
      <c r="AA54" s="26" t="str">
        <f t="shared" si="5"/>
        <v>04</v>
      </c>
      <c r="AB54" s="26" t="str">
        <f t="shared" si="3"/>
        <v>2024</v>
      </c>
    </row>
    <row r="55" spans="1:28" x14ac:dyDescent="0.25">
      <c r="A55" s="30">
        <v>45397</v>
      </c>
      <c r="B55" s="26" t="s">
        <v>253</v>
      </c>
      <c r="C55" s="26" t="s">
        <v>2</v>
      </c>
      <c r="D55" s="26" t="s">
        <v>258</v>
      </c>
      <c r="E55" s="26"/>
      <c r="F55" s="28" t="s">
        <v>566</v>
      </c>
      <c r="G55" s="26" t="s">
        <v>160</v>
      </c>
      <c r="H55" s="26" t="s">
        <v>567</v>
      </c>
      <c r="I55" s="26" t="s">
        <v>573</v>
      </c>
      <c r="J55" s="30">
        <v>45420</v>
      </c>
      <c r="K55" s="26" t="s">
        <v>546</v>
      </c>
      <c r="M55" s="30"/>
      <c r="O55" s="26"/>
      <c r="P55" s="31"/>
      <c r="Q55" s="31"/>
      <c r="R55" s="26"/>
      <c r="S55" s="26"/>
      <c r="T55" s="31"/>
      <c r="U55" s="26"/>
      <c r="V55" s="26">
        <f t="shared" si="0"/>
        <v>1</v>
      </c>
      <c r="W55" s="26">
        <f t="shared" si="4"/>
        <v>0</v>
      </c>
      <c r="X55" s="26">
        <f>Data_Base[[#This Row],[B.N Total]]-Data_Base[[#This Row],[Nbre Brachements exécuté]]</f>
        <v>1</v>
      </c>
      <c r="Y55" s="26" t="str">
        <f t="shared" si="1"/>
        <v>lundi</v>
      </c>
      <c r="Z55" s="26" t="str">
        <f t="shared" si="2"/>
        <v>15</v>
      </c>
      <c r="AA55" s="26" t="str">
        <f t="shared" si="5"/>
        <v>04</v>
      </c>
      <c r="AB55" s="26" t="str">
        <f t="shared" si="3"/>
        <v>2024</v>
      </c>
    </row>
    <row r="56" spans="1:28" x14ac:dyDescent="0.25">
      <c r="A56" s="30">
        <v>45397</v>
      </c>
      <c r="B56" s="26" t="s">
        <v>253</v>
      </c>
      <c r="C56" s="26" t="s">
        <v>2</v>
      </c>
      <c r="D56" s="26" t="s">
        <v>259</v>
      </c>
      <c r="E56" s="26"/>
      <c r="G56" s="26"/>
      <c r="H56" s="26"/>
      <c r="I56" s="26"/>
      <c r="J56" s="30"/>
      <c r="K56" s="26"/>
      <c r="M56" s="30"/>
      <c r="O56" s="26"/>
      <c r="P56" s="31"/>
      <c r="Q56" s="31"/>
      <c r="R56" s="26"/>
      <c r="S56" s="26"/>
      <c r="T56" s="31"/>
      <c r="U56" s="26"/>
      <c r="V56" s="26">
        <f t="shared" si="0"/>
        <v>1</v>
      </c>
      <c r="W56" s="26">
        <f t="shared" si="4"/>
        <v>0</v>
      </c>
      <c r="X56" s="26">
        <f>Data_Base[[#This Row],[B.N Total]]-Data_Base[[#This Row],[Nbre Brachements exécuté]]</f>
        <v>1</v>
      </c>
      <c r="Y56" s="26" t="str">
        <f t="shared" si="1"/>
        <v>lundi</v>
      </c>
      <c r="Z56" s="26" t="str">
        <f t="shared" si="2"/>
        <v>15</v>
      </c>
      <c r="AA56" s="26" t="str">
        <f t="shared" si="5"/>
        <v>04</v>
      </c>
      <c r="AB56" s="26" t="str">
        <f t="shared" si="3"/>
        <v>2024</v>
      </c>
    </row>
    <row r="57" spans="1:28" x14ac:dyDescent="0.25">
      <c r="A57" s="30">
        <v>45397</v>
      </c>
      <c r="B57" s="26" t="s">
        <v>260</v>
      </c>
      <c r="C57" s="26" t="s">
        <v>2</v>
      </c>
      <c r="D57" s="26" t="s">
        <v>261</v>
      </c>
      <c r="E57" s="26"/>
      <c r="G57" s="26"/>
      <c r="H57" s="26"/>
      <c r="I57" s="26"/>
      <c r="J57" s="30"/>
      <c r="K57" s="26"/>
      <c r="M57" s="30"/>
      <c r="O57" s="26"/>
      <c r="P57" s="31"/>
      <c r="Q57" s="31"/>
      <c r="R57" s="26"/>
      <c r="S57" s="26"/>
      <c r="T57" s="31"/>
      <c r="U57" s="26"/>
      <c r="V57" s="26">
        <f t="shared" si="0"/>
        <v>1</v>
      </c>
      <c r="W57" s="26">
        <f t="shared" si="4"/>
        <v>0</v>
      </c>
      <c r="X57" s="26">
        <f>Data_Base[[#This Row],[B.N Total]]-Data_Base[[#This Row],[Nbre Brachements exécuté]]</f>
        <v>1</v>
      </c>
      <c r="Y57" s="26" t="str">
        <f t="shared" si="1"/>
        <v>lundi</v>
      </c>
      <c r="Z57" s="26" t="str">
        <f t="shared" si="2"/>
        <v>15</v>
      </c>
      <c r="AA57" s="26" t="str">
        <f t="shared" si="5"/>
        <v>04</v>
      </c>
      <c r="AB57" s="26" t="str">
        <f t="shared" si="3"/>
        <v>2024</v>
      </c>
    </row>
    <row r="58" spans="1:28" x14ac:dyDescent="0.25">
      <c r="A58" s="30">
        <v>45397</v>
      </c>
      <c r="B58" s="26" t="s">
        <v>262</v>
      </c>
      <c r="C58" s="26" t="s">
        <v>2</v>
      </c>
      <c r="D58" s="26" t="s">
        <v>263</v>
      </c>
      <c r="E58" s="26"/>
      <c r="G58" s="26"/>
      <c r="H58" s="26"/>
      <c r="I58" s="26"/>
      <c r="J58" s="30"/>
      <c r="K58" s="26"/>
      <c r="M58" s="30"/>
      <c r="O58" s="26"/>
      <c r="P58" s="31"/>
      <c r="Q58" s="31"/>
      <c r="R58" s="26"/>
      <c r="S58" s="26"/>
      <c r="T58" s="31"/>
      <c r="U58" s="26"/>
      <c r="V58" s="26">
        <f t="shared" si="0"/>
        <v>1</v>
      </c>
      <c r="W58" s="26">
        <f t="shared" si="4"/>
        <v>0</v>
      </c>
      <c r="X58" s="26">
        <f>Data_Base[[#This Row],[B.N Total]]-Data_Base[[#This Row],[Nbre Brachements exécuté]]</f>
        <v>1</v>
      </c>
      <c r="Y58" s="26" t="str">
        <f t="shared" si="1"/>
        <v>lundi</v>
      </c>
      <c r="Z58" s="26" t="str">
        <f t="shared" si="2"/>
        <v>15</v>
      </c>
      <c r="AA58" s="26" t="str">
        <f t="shared" si="5"/>
        <v>04</v>
      </c>
      <c r="AB58" s="26" t="str">
        <f t="shared" si="3"/>
        <v>2024</v>
      </c>
    </row>
    <row r="59" spans="1:28" x14ac:dyDescent="0.25">
      <c r="A59" s="30">
        <v>45397</v>
      </c>
      <c r="B59" s="26" t="s">
        <v>264</v>
      </c>
      <c r="C59" s="26" t="s">
        <v>2</v>
      </c>
      <c r="D59" s="26" t="s">
        <v>265</v>
      </c>
      <c r="E59" s="26" t="s">
        <v>142</v>
      </c>
      <c r="F59" s="28" t="s">
        <v>519</v>
      </c>
      <c r="G59" s="26" t="s">
        <v>160</v>
      </c>
      <c r="H59" s="26" t="s">
        <v>161</v>
      </c>
      <c r="I59" s="26" t="s">
        <v>160</v>
      </c>
      <c r="J59" s="30">
        <v>45393</v>
      </c>
      <c r="K59" s="26"/>
      <c r="L59" s="26" t="s">
        <v>518</v>
      </c>
      <c r="M59" s="30">
        <v>45393</v>
      </c>
      <c r="N59" s="26" t="s">
        <v>518</v>
      </c>
      <c r="O59" s="26" t="s">
        <v>141</v>
      </c>
      <c r="P59" s="31">
        <v>15</v>
      </c>
      <c r="Q59" s="31"/>
      <c r="R59" s="26" t="s">
        <v>547</v>
      </c>
      <c r="S59" s="26" t="s">
        <v>548</v>
      </c>
      <c r="T59" s="31" t="s">
        <v>549</v>
      </c>
      <c r="U59" s="26" t="s">
        <v>550</v>
      </c>
      <c r="V59" s="26">
        <f t="shared" si="0"/>
        <v>1</v>
      </c>
      <c r="W59" s="26">
        <f t="shared" si="4"/>
        <v>1</v>
      </c>
      <c r="X59" s="26">
        <f>Data_Base[[#This Row],[B.N Total]]-Data_Base[[#This Row],[Nbre Brachements exécuté]]</f>
        <v>0</v>
      </c>
      <c r="Y59" s="26" t="str">
        <f t="shared" si="1"/>
        <v>lundi</v>
      </c>
      <c r="Z59" s="26" t="str">
        <f t="shared" si="2"/>
        <v>15</v>
      </c>
      <c r="AA59" s="26" t="str">
        <f t="shared" si="5"/>
        <v>04</v>
      </c>
      <c r="AB59" s="26" t="str">
        <f t="shared" si="3"/>
        <v>2024</v>
      </c>
    </row>
    <row r="60" spans="1:28" x14ac:dyDescent="0.25">
      <c r="A60" s="30">
        <v>45397</v>
      </c>
      <c r="B60" s="26" t="s">
        <v>266</v>
      </c>
      <c r="C60" s="26" t="s">
        <v>2</v>
      </c>
      <c r="D60" s="26" t="s">
        <v>267</v>
      </c>
      <c r="E60" s="26" t="s">
        <v>142</v>
      </c>
      <c r="F60" s="28" t="s">
        <v>521</v>
      </c>
      <c r="G60" s="26" t="s">
        <v>160</v>
      </c>
      <c r="H60" s="26" t="s">
        <v>161</v>
      </c>
      <c r="I60" s="26" t="s">
        <v>160</v>
      </c>
      <c r="J60" s="30">
        <v>45393</v>
      </c>
      <c r="K60" s="26"/>
      <c r="L60" s="26" t="s">
        <v>520</v>
      </c>
      <c r="M60" s="30">
        <v>45393</v>
      </c>
      <c r="N60" s="26" t="s">
        <v>520</v>
      </c>
      <c r="O60" s="26" t="s">
        <v>141</v>
      </c>
      <c r="P60" s="31">
        <v>15</v>
      </c>
      <c r="Q60" s="31"/>
      <c r="R60" s="26" t="s">
        <v>547</v>
      </c>
      <c r="S60" s="26" t="s">
        <v>548</v>
      </c>
      <c r="T60" s="31" t="s">
        <v>549</v>
      </c>
      <c r="U60" s="26" t="s">
        <v>550</v>
      </c>
      <c r="V60" s="26">
        <f t="shared" si="0"/>
        <v>1</v>
      </c>
      <c r="W60" s="26">
        <f t="shared" si="4"/>
        <v>1</v>
      </c>
      <c r="X60" s="26">
        <f>Data_Base[[#This Row],[B.N Total]]-Data_Base[[#This Row],[Nbre Brachements exécuté]]</f>
        <v>0</v>
      </c>
      <c r="Y60" s="26" t="str">
        <f t="shared" si="1"/>
        <v>lundi</v>
      </c>
      <c r="Z60" s="26" t="str">
        <f t="shared" si="2"/>
        <v>15</v>
      </c>
      <c r="AA60" s="26" t="str">
        <f t="shared" si="5"/>
        <v>04</v>
      </c>
      <c r="AB60" s="26" t="str">
        <f t="shared" si="3"/>
        <v>2024</v>
      </c>
    </row>
    <row r="61" spans="1:28" x14ac:dyDescent="0.25">
      <c r="A61" s="30">
        <v>45397</v>
      </c>
      <c r="B61" s="26" t="s">
        <v>268</v>
      </c>
      <c r="C61" s="26" t="s">
        <v>2</v>
      </c>
      <c r="D61" s="26" t="s">
        <v>269</v>
      </c>
      <c r="E61" s="26" t="s">
        <v>142</v>
      </c>
      <c r="F61" s="28" t="s">
        <v>523</v>
      </c>
      <c r="G61" s="26" t="s">
        <v>160</v>
      </c>
      <c r="H61" s="26" t="s">
        <v>161</v>
      </c>
      <c r="I61" s="26" t="s">
        <v>160</v>
      </c>
      <c r="J61" s="30">
        <v>45393</v>
      </c>
      <c r="K61" s="26" t="s">
        <v>546</v>
      </c>
      <c r="L61" s="26" t="s">
        <v>522</v>
      </c>
      <c r="M61" s="30">
        <v>45393</v>
      </c>
      <c r="N61" s="26" t="s">
        <v>522</v>
      </c>
      <c r="O61" s="26" t="s">
        <v>141</v>
      </c>
      <c r="P61" s="31">
        <v>15</v>
      </c>
      <c r="Q61" s="31"/>
      <c r="R61" s="26" t="s">
        <v>547</v>
      </c>
      <c r="S61" s="26" t="s">
        <v>548</v>
      </c>
      <c r="T61" s="31" t="s">
        <v>549</v>
      </c>
      <c r="U61" s="26" t="s">
        <v>550</v>
      </c>
      <c r="V61" s="26">
        <f t="shared" si="0"/>
        <v>1</v>
      </c>
      <c r="W61" s="26">
        <f t="shared" si="4"/>
        <v>1</v>
      </c>
      <c r="X61" s="26">
        <f>Data_Base[[#This Row],[B.N Total]]-Data_Base[[#This Row],[Nbre Brachements exécuté]]</f>
        <v>0</v>
      </c>
      <c r="Y61" s="26" t="str">
        <f t="shared" si="1"/>
        <v>lundi</v>
      </c>
      <c r="Z61" s="26" t="str">
        <f t="shared" si="2"/>
        <v>15</v>
      </c>
      <c r="AA61" s="26" t="str">
        <f t="shared" si="5"/>
        <v>04</v>
      </c>
      <c r="AB61" s="26" t="str">
        <f t="shared" si="3"/>
        <v>2024</v>
      </c>
    </row>
    <row r="62" spans="1:28" x14ac:dyDescent="0.25">
      <c r="A62" s="30">
        <v>45397</v>
      </c>
      <c r="B62" s="26" t="s">
        <v>270</v>
      </c>
      <c r="C62" s="26" t="s">
        <v>2</v>
      </c>
      <c r="D62" s="26" t="s">
        <v>271</v>
      </c>
      <c r="E62" s="26"/>
      <c r="F62" s="28" t="s">
        <v>574</v>
      </c>
      <c r="G62" s="26" t="s">
        <v>160</v>
      </c>
      <c r="H62" s="26" t="s">
        <v>325</v>
      </c>
      <c r="I62" s="26"/>
      <c r="J62" s="30">
        <v>45418</v>
      </c>
      <c r="K62" s="26" t="s">
        <v>546</v>
      </c>
      <c r="M62" s="30"/>
      <c r="O62" s="26"/>
      <c r="P62" s="31"/>
      <c r="Q62" s="31"/>
      <c r="R62" s="26"/>
      <c r="S62" s="26"/>
      <c r="T62" s="31" t="s">
        <v>575</v>
      </c>
      <c r="U62" s="26"/>
      <c r="V62" s="26">
        <f t="shared" si="0"/>
        <v>1</v>
      </c>
      <c r="W62" s="26">
        <f t="shared" si="4"/>
        <v>0</v>
      </c>
      <c r="X62" s="26">
        <f>Data_Base[[#This Row],[B.N Total]]-Data_Base[[#This Row],[Nbre Brachements exécuté]]</f>
        <v>1</v>
      </c>
      <c r="Y62" s="26" t="str">
        <f t="shared" si="1"/>
        <v>lundi</v>
      </c>
      <c r="Z62" s="26" t="str">
        <f t="shared" si="2"/>
        <v>15</v>
      </c>
      <c r="AA62" s="26" t="str">
        <f t="shared" si="5"/>
        <v>04</v>
      </c>
      <c r="AB62" s="26" t="str">
        <f t="shared" si="3"/>
        <v>2024</v>
      </c>
    </row>
    <row r="63" spans="1:28" x14ac:dyDescent="0.25">
      <c r="A63" s="30">
        <v>45397</v>
      </c>
      <c r="B63" s="26" t="s">
        <v>272</v>
      </c>
      <c r="C63" s="26" t="s">
        <v>2</v>
      </c>
      <c r="D63" s="26" t="s">
        <v>273</v>
      </c>
      <c r="E63" s="26"/>
      <c r="G63" s="26"/>
      <c r="H63" s="26"/>
      <c r="I63" s="26"/>
      <c r="J63" s="30"/>
      <c r="K63" s="26"/>
      <c r="M63" s="30"/>
      <c r="O63" s="26"/>
      <c r="P63" s="31"/>
      <c r="Q63" s="31"/>
      <c r="R63" s="26"/>
      <c r="S63" s="26"/>
      <c r="T63" s="31"/>
      <c r="U63" s="26"/>
      <c r="V63" s="26">
        <f t="shared" si="0"/>
        <v>1</v>
      </c>
      <c r="W63" s="26">
        <f t="shared" si="4"/>
        <v>0</v>
      </c>
      <c r="X63" s="26">
        <f>Data_Base[[#This Row],[B.N Total]]-Data_Base[[#This Row],[Nbre Brachements exécuté]]</f>
        <v>1</v>
      </c>
      <c r="Y63" s="26" t="str">
        <f t="shared" si="1"/>
        <v>lundi</v>
      </c>
      <c r="Z63" s="26" t="str">
        <f t="shared" si="2"/>
        <v>15</v>
      </c>
      <c r="AA63" s="26" t="str">
        <f t="shared" si="5"/>
        <v>04</v>
      </c>
      <c r="AB63" s="26" t="str">
        <f t="shared" si="3"/>
        <v>2024</v>
      </c>
    </row>
    <row r="64" spans="1:28" x14ac:dyDescent="0.25">
      <c r="A64" s="30">
        <v>45397</v>
      </c>
      <c r="B64" s="26" t="s">
        <v>274</v>
      </c>
      <c r="C64" s="26" t="s">
        <v>2</v>
      </c>
      <c r="D64" s="26" t="s">
        <v>275</v>
      </c>
      <c r="E64" s="26" t="s">
        <v>142</v>
      </c>
      <c r="F64" s="28" t="s">
        <v>1141</v>
      </c>
      <c r="G64" s="26" t="s">
        <v>160</v>
      </c>
      <c r="H64" s="26" t="s">
        <v>567</v>
      </c>
      <c r="I64" s="26" t="s">
        <v>573</v>
      </c>
      <c r="J64" s="30">
        <v>45422</v>
      </c>
      <c r="K64" s="26" t="s">
        <v>546</v>
      </c>
      <c r="L64" s="26" t="s">
        <v>1142</v>
      </c>
      <c r="M64" s="30">
        <v>45422</v>
      </c>
      <c r="N64" s="26" t="s">
        <v>1142</v>
      </c>
      <c r="O64" s="26" t="s">
        <v>582</v>
      </c>
      <c r="P64" s="31">
        <v>15</v>
      </c>
      <c r="Q64" s="31">
        <v>10</v>
      </c>
      <c r="R64" s="26" t="s">
        <v>547</v>
      </c>
      <c r="S64" s="26"/>
      <c r="T64" s="31"/>
      <c r="U64" s="26"/>
      <c r="V64" s="26">
        <f t="shared" si="0"/>
        <v>1</v>
      </c>
      <c r="W64" s="26">
        <f t="shared" si="4"/>
        <v>1</v>
      </c>
      <c r="X64" s="26">
        <f>Data_Base[[#This Row],[B.N Total]]-Data_Base[[#This Row],[Nbre Brachements exécuté]]</f>
        <v>0</v>
      </c>
      <c r="Y64" s="26" t="str">
        <f t="shared" si="1"/>
        <v>lundi</v>
      </c>
      <c r="Z64" s="26" t="str">
        <f t="shared" si="2"/>
        <v>15</v>
      </c>
      <c r="AA64" s="26" t="str">
        <f t="shared" si="5"/>
        <v>04</v>
      </c>
      <c r="AB64" s="26" t="str">
        <f t="shared" si="3"/>
        <v>2024</v>
      </c>
    </row>
    <row r="65" spans="1:28" x14ac:dyDescent="0.25">
      <c r="A65" s="30">
        <v>45397</v>
      </c>
      <c r="B65" s="26" t="s">
        <v>274</v>
      </c>
      <c r="C65" s="26" t="s">
        <v>2</v>
      </c>
      <c r="D65" s="26" t="s">
        <v>276</v>
      </c>
      <c r="E65" s="26" t="s">
        <v>142</v>
      </c>
      <c r="F65" s="28" t="s">
        <v>1141</v>
      </c>
      <c r="G65" s="26" t="s">
        <v>160</v>
      </c>
      <c r="H65" s="26" t="s">
        <v>567</v>
      </c>
      <c r="I65" s="26" t="s">
        <v>573</v>
      </c>
      <c r="J65" s="30">
        <v>45422</v>
      </c>
      <c r="K65" s="26" t="s">
        <v>546</v>
      </c>
      <c r="L65" s="26" t="s">
        <v>1143</v>
      </c>
      <c r="M65" s="30">
        <v>45422</v>
      </c>
      <c r="N65" s="26" t="s">
        <v>1143</v>
      </c>
      <c r="O65" s="26" t="s">
        <v>582</v>
      </c>
      <c r="P65" s="31">
        <v>15</v>
      </c>
      <c r="Q65" s="31">
        <v>10</v>
      </c>
      <c r="R65" s="26" t="s">
        <v>547</v>
      </c>
      <c r="S65" s="26"/>
      <c r="T65" s="31"/>
      <c r="U65" s="26"/>
      <c r="V65" s="26">
        <f t="shared" si="0"/>
        <v>1</v>
      </c>
      <c r="W65" s="26">
        <f t="shared" si="4"/>
        <v>1</v>
      </c>
      <c r="X65" s="26">
        <f>Data_Base[[#This Row],[B.N Total]]-Data_Base[[#This Row],[Nbre Brachements exécuté]]</f>
        <v>0</v>
      </c>
      <c r="Y65" s="26" t="str">
        <f t="shared" si="1"/>
        <v>lundi</v>
      </c>
      <c r="Z65" s="26" t="str">
        <f t="shared" si="2"/>
        <v>15</v>
      </c>
      <c r="AA65" s="26" t="str">
        <f t="shared" si="5"/>
        <v>04</v>
      </c>
      <c r="AB65" s="26" t="str">
        <f t="shared" si="3"/>
        <v>2024</v>
      </c>
    </row>
    <row r="66" spans="1:28" x14ac:dyDescent="0.25">
      <c r="A66" s="30">
        <v>45397</v>
      </c>
      <c r="B66" s="26" t="s">
        <v>277</v>
      </c>
      <c r="C66" s="26" t="s">
        <v>2</v>
      </c>
      <c r="D66" s="26" t="s">
        <v>278</v>
      </c>
      <c r="E66" s="26" t="s">
        <v>142</v>
      </c>
      <c r="F66" s="28" t="s">
        <v>391</v>
      </c>
      <c r="G66" s="26"/>
      <c r="H66" s="26"/>
      <c r="I66" s="26"/>
      <c r="J66" s="30">
        <v>45398</v>
      </c>
      <c r="K66" s="26" t="s">
        <v>546</v>
      </c>
      <c r="L66" s="26" t="s">
        <v>390</v>
      </c>
      <c r="M66" s="30">
        <v>45398</v>
      </c>
      <c r="N66" s="26" t="s">
        <v>390</v>
      </c>
      <c r="O66" s="26" t="s">
        <v>141</v>
      </c>
      <c r="P66" s="31">
        <v>15</v>
      </c>
      <c r="Q66" s="31"/>
      <c r="R66" s="26" t="s">
        <v>547</v>
      </c>
      <c r="S66" s="26" t="s">
        <v>548</v>
      </c>
      <c r="T66" s="31" t="s">
        <v>549</v>
      </c>
      <c r="U66" s="26" t="s">
        <v>550</v>
      </c>
      <c r="V66" s="26">
        <f t="shared" ref="V66:V129" si="6">COUNTA(B66)</f>
        <v>1</v>
      </c>
      <c r="W66" s="26">
        <f t="shared" si="4"/>
        <v>1</v>
      </c>
      <c r="X66" s="26">
        <f>Data_Base[[#This Row],[B.N Total]]-Data_Base[[#This Row],[Nbre Brachements exécuté]]</f>
        <v>0</v>
      </c>
      <c r="Y66" s="26" t="str">
        <f t="shared" ref="Y66:Y129" si="7">IF(A66=""," ",TEXT(A66,"jjjj"))</f>
        <v>lundi</v>
      </c>
      <c r="Z66" s="26" t="str">
        <f t="shared" ref="Z66:Z129" si="8">IF(A66="","",TEXT(A66,"jj"))</f>
        <v>15</v>
      </c>
      <c r="AA66" s="26" t="str">
        <f t="shared" si="5"/>
        <v>04</v>
      </c>
      <c r="AB66" s="26" t="str">
        <f t="shared" ref="AB66:AB129" si="9">IF(A66=""," ",TEXT(A66,"aaaa"))</f>
        <v>2024</v>
      </c>
    </row>
    <row r="67" spans="1:28" x14ac:dyDescent="0.25">
      <c r="A67" s="30">
        <v>45397</v>
      </c>
      <c r="B67" s="26" t="s">
        <v>270</v>
      </c>
      <c r="C67" s="26" t="s">
        <v>2</v>
      </c>
      <c r="D67" s="26" t="s">
        <v>279</v>
      </c>
      <c r="E67" s="26"/>
      <c r="F67" s="28" t="s">
        <v>574</v>
      </c>
      <c r="G67" s="26" t="s">
        <v>160</v>
      </c>
      <c r="H67" s="26" t="s">
        <v>325</v>
      </c>
      <c r="I67" s="26"/>
      <c r="J67" s="30">
        <v>45418</v>
      </c>
      <c r="K67" s="26" t="s">
        <v>546</v>
      </c>
      <c r="M67" s="30"/>
      <c r="O67" s="26"/>
      <c r="P67" s="31"/>
      <c r="Q67" s="31"/>
      <c r="R67" s="26"/>
      <c r="S67" s="26"/>
      <c r="T67" s="31" t="s">
        <v>575</v>
      </c>
      <c r="U67" s="26"/>
      <c r="V67" s="26">
        <f t="shared" si="6"/>
        <v>1</v>
      </c>
      <c r="W67" s="26">
        <f t="shared" ref="W67:W130" si="10">COUNTA(N67)</f>
        <v>0</v>
      </c>
      <c r="X67" s="26">
        <f>Data_Base[[#This Row],[B.N Total]]-Data_Base[[#This Row],[Nbre Brachements exécuté]]</f>
        <v>1</v>
      </c>
      <c r="Y67" s="26" t="str">
        <f t="shared" si="7"/>
        <v>lundi</v>
      </c>
      <c r="Z67" s="26" t="str">
        <f t="shared" si="8"/>
        <v>15</v>
      </c>
      <c r="AA67" s="26" t="str">
        <f t="shared" ref="AA67:AA130" si="11">IF(A67=""," ",TEXT(A67,"mm"))</f>
        <v>04</v>
      </c>
      <c r="AB67" s="26" t="str">
        <f t="shared" si="9"/>
        <v>2024</v>
      </c>
    </row>
    <row r="68" spans="1:28" x14ac:dyDescent="0.25">
      <c r="A68" s="30">
        <v>45397</v>
      </c>
      <c r="B68" s="26" t="s">
        <v>286</v>
      </c>
      <c r="C68" s="26" t="s">
        <v>2</v>
      </c>
      <c r="D68" s="26" t="s">
        <v>287</v>
      </c>
      <c r="E68" s="26" t="s">
        <v>142</v>
      </c>
      <c r="F68" s="28" t="s">
        <v>324</v>
      </c>
      <c r="G68" s="26" t="s">
        <v>160</v>
      </c>
      <c r="H68" s="26" t="s">
        <v>325</v>
      </c>
      <c r="I68" s="26" t="s">
        <v>160</v>
      </c>
      <c r="J68" s="30">
        <v>45398</v>
      </c>
      <c r="K68" s="26" t="s">
        <v>546</v>
      </c>
      <c r="L68" s="26" t="s">
        <v>323</v>
      </c>
      <c r="M68" s="30">
        <v>45398</v>
      </c>
      <c r="N68" s="26" t="s">
        <v>323</v>
      </c>
      <c r="O68" s="26" t="s">
        <v>141</v>
      </c>
      <c r="P68" s="31">
        <v>30</v>
      </c>
      <c r="Q68" s="31"/>
      <c r="R68" s="26" t="s">
        <v>547</v>
      </c>
      <c r="S68" s="26" t="s">
        <v>548</v>
      </c>
      <c r="T68" s="31" t="s">
        <v>549</v>
      </c>
      <c r="U68" s="26" t="s">
        <v>550</v>
      </c>
      <c r="V68" s="26">
        <f t="shared" si="6"/>
        <v>1</v>
      </c>
      <c r="W68" s="26">
        <f t="shared" si="10"/>
        <v>1</v>
      </c>
      <c r="X68" s="26">
        <f>Data_Base[[#This Row],[B.N Total]]-Data_Base[[#This Row],[Nbre Brachements exécuté]]</f>
        <v>0</v>
      </c>
      <c r="Y68" s="26" t="str">
        <f t="shared" si="7"/>
        <v>lundi</v>
      </c>
      <c r="Z68" s="26" t="str">
        <f t="shared" si="8"/>
        <v>15</v>
      </c>
      <c r="AA68" s="26" t="str">
        <f t="shared" si="11"/>
        <v>04</v>
      </c>
      <c r="AB68" s="26" t="str">
        <f t="shared" si="9"/>
        <v>2024</v>
      </c>
    </row>
    <row r="69" spans="1:28" x14ac:dyDescent="0.25">
      <c r="A69" s="30">
        <v>45397</v>
      </c>
      <c r="B69" s="26" t="s">
        <v>403</v>
      </c>
      <c r="C69" s="26" t="s">
        <v>66</v>
      </c>
      <c r="D69" s="26" t="s">
        <v>404</v>
      </c>
      <c r="E69" s="26"/>
      <c r="G69" s="26"/>
      <c r="H69" s="26"/>
      <c r="I69" s="26"/>
      <c r="J69" s="30"/>
      <c r="K69" s="26"/>
      <c r="M69" s="30"/>
      <c r="O69" s="26"/>
      <c r="P69" s="31"/>
      <c r="Q69" s="31"/>
      <c r="R69" s="26"/>
      <c r="S69" s="26"/>
      <c r="T69" s="31"/>
      <c r="U69" s="26"/>
      <c r="V69" s="26">
        <f t="shared" si="6"/>
        <v>1</v>
      </c>
      <c r="W69" s="26">
        <f t="shared" si="10"/>
        <v>0</v>
      </c>
      <c r="X69" s="26">
        <f>Data_Base[[#This Row],[B.N Total]]-Data_Base[[#This Row],[Nbre Brachements exécuté]]</f>
        <v>1</v>
      </c>
      <c r="Y69" s="26" t="str">
        <f t="shared" si="7"/>
        <v>lundi</v>
      </c>
      <c r="Z69" s="26" t="str">
        <f t="shared" si="8"/>
        <v>15</v>
      </c>
      <c r="AA69" s="26" t="str">
        <f t="shared" si="11"/>
        <v>04</v>
      </c>
      <c r="AB69" s="26" t="str">
        <f t="shared" si="9"/>
        <v>2024</v>
      </c>
    </row>
    <row r="70" spans="1:28" x14ac:dyDescent="0.25">
      <c r="A70" s="30">
        <v>45397</v>
      </c>
      <c r="B70" s="26" t="s">
        <v>405</v>
      </c>
      <c r="C70" s="26" t="s">
        <v>66</v>
      </c>
      <c r="D70" s="26" t="s">
        <v>406</v>
      </c>
      <c r="E70" s="26"/>
      <c r="G70" s="26"/>
      <c r="H70" s="26"/>
      <c r="I70" s="26"/>
      <c r="J70" s="30"/>
      <c r="K70" s="26"/>
      <c r="M70" s="30"/>
      <c r="O70" s="26"/>
      <c r="P70" s="31"/>
      <c r="Q70" s="31"/>
      <c r="R70" s="26"/>
      <c r="S70" s="26"/>
      <c r="T70" s="31"/>
      <c r="U70" s="26"/>
      <c r="V70" s="26">
        <f t="shared" si="6"/>
        <v>1</v>
      </c>
      <c r="W70" s="26">
        <f t="shared" si="10"/>
        <v>0</v>
      </c>
      <c r="X70" s="26">
        <f>Data_Base[[#This Row],[B.N Total]]-Data_Base[[#This Row],[Nbre Brachements exécuté]]</f>
        <v>1</v>
      </c>
      <c r="Y70" s="26" t="str">
        <f t="shared" si="7"/>
        <v>lundi</v>
      </c>
      <c r="Z70" s="26" t="str">
        <f t="shared" si="8"/>
        <v>15</v>
      </c>
      <c r="AA70" s="26" t="str">
        <f t="shared" si="11"/>
        <v>04</v>
      </c>
      <c r="AB70" s="26" t="str">
        <f t="shared" si="9"/>
        <v>2024</v>
      </c>
    </row>
    <row r="71" spans="1:28" x14ac:dyDescent="0.25">
      <c r="A71" s="30">
        <v>45397</v>
      </c>
      <c r="B71" s="26" t="s">
        <v>405</v>
      </c>
      <c r="C71" s="26" t="s">
        <v>66</v>
      </c>
      <c r="D71" s="26" t="s">
        <v>407</v>
      </c>
      <c r="E71" s="26"/>
      <c r="G71" s="26"/>
      <c r="H71" s="26"/>
      <c r="I71" s="26"/>
      <c r="J71" s="30"/>
      <c r="K71" s="26"/>
      <c r="M71" s="30"/>
      <c r="O71" s="26"/>
      <c r="P71" s="31"/>
      <c r="Q71" s="31"/>
      <c r="R71" s="26"/>
      <c r="S71" s="26"/>
      <c r="T71" s="31"/>
      <c r="U71" s="26"/>
      <c r="V71" s="26">
        <f t="shared" si="6"/>
        <v>1</v>
      </c>
      <c r="W71" s="26">
        <f t="shared" si="10"/>
        <v>0</v>
      </c>
      <c r="X71" s="26">
        <f>Data_Base[[#This Row],[B.N Total]]-Data_Base[[#This Row],[Nbre Brachements exécuté]]</f>
        <v>1</v>
      </c>
      <c r="Y71" s="26" t="str">
        <f t="shared" si="7"/>
        <v>lundi</v>
      </c>
      <c r="Z71" s="26" t="str">
        <f t="shared" si="8"/>
        <v>15</v>
      </c>
      <c r="AA71" s="26" t="str">
        <f t="shared" si="11"/>
        <v>04</v>
      </c>
      <c r="AB71" s="26" t="str">
        <f t="shared" si="9"/>
        <v>2024</v>
      </c>
    </row>
    <row r="72" spans="1:28" x14ac:dyDescent="0.25">
      <c r="A72" s="30">
        <v>45397</v>
      </c>
      <c r="B72" s="26" t="s">
        <v>405</v>
      </c>
      <c r="C72" s="26" t="s">
        <v>66</v>
      </c>
      <c r="D72" s="26" t="s">
        <v>408</v>
      </c>
      <c r="E72" s="26"/>
      <c r="G72" s="26"/>
      <c r="H72" s="26"/>
      <c r="I72" s="26"/>
      <c r="J72" s="30"/>
      <c r="K72" s="26"/>
      <c r="M72" s="30"/>
      <c r="O72" s="26"/>
      <c r="P72" s="31"/>
      <c r="Q72" s="31"/>
      <c r="R72" s="26"/>
      <c r="S72" s="26"/>
      <c r="T72" s="31"/>
      <c r="U72" s="26"/>
      <c r="V72" s="26">
        <f t="shared" si="6"/>
        <v>1</v>
      </c>
      <c r="W72" s="26">
        <f t="shared" si="10"/>
        <v>0</v>
      </c>
      <c r="X72" s="26">
        <f>Data_Base[[#This Row],[B.N Total]]-Data_Base[[#This Row],[Nbre Brachements exécuté]]</f>
        <v>1</v>
      </c>
      <c r="Y72" s="26" t="str">
        <f t="shared" si="7"/>
        <v>lundi</v>
      </c>
      <c r="Z72" s="26" t="str">
        <f t="shared" si="8"/>
        <v>15</v>
      </c>
      <c r="AA72" s="26" t="str">
        <f t="shared" si="11"/>
        <v>04</v>
      </c>
      <c r="AB72" s="26" t="str">
        <f t="shared" si="9"/>
        <v>2024</v>
      </c>
    </row>
    <row r="73" spans="1:28" x14ac:dyDescent="0.25">
      <c r="A73" s="30">
        <v>45397</v>
      </c>
      <c r="B73" s="26" t="s">
        <v>405</v>
      </c>
      <c r="C73" s="26" t="s">
        <v>66</v>
      </c>
      <c r="D73" s="26" t="s">
        <v>409</v>
      </c>
      <c r="E73" s="26"/>
      <c r="G73" s="26"/>
      <c r="H73" s="26"/>
      <c r="I73" s="26"/>
      <c r="J73" s="30"/>
      <c r="K73" s="26"/>
      <c r="M73" s="30"/>
      <c r="O73" s="26"/>
      <c r="P73" s="31"/>
      <c r="Q73" s="31"/>
      <c r="R73" s="26"/>
      <c r="S73" s="26"/>
      <c r="T73" s="31"/>
      <c r="U73" s="26"/>
      <c r="V73" s="26">
        <f t="shared" si="6"/>
        <v>1</v>
      </c>
      <c r="W73" s="26">
        <f t="shared" si="10"/>
        <v>0</v>
      </c>
      <c r="X73" s="26">
        <f>Data_Base[[#This Row],[B.N Total]]-Data_Base[[#This Row],[Nbre Brachements exécuté]]</f>
        <v>1</v>
      </c>
      <c r="Y73" s="26" t="str">
        <f t="shared" si="7"/>
        <v>lundi</v>
      </c>
      <c r="Z73" s="26" t="str">
        <f t="shared" si="8"/>
        <v>15</v>
      </c>
      <c r="AA73" s="26" t="str">
        <f t="shared" si="11"/>
        <v>04</v>
      </c>
      <c r="AB73" s="26" t="str">
        <f t="shared" si="9"/>
        <v>2024</v>
      </c>
    </row>
    <row r="74" spans="1:28" x14ac:dyDescent="0.25">
      <c r="A74" s="30">
        <v>45397</v>
      </c>
      <c r="B74" s="26" t="s">
        <v>405</v>
      </c>
      <c r="C74" s="26" t="s">
        <v>66</v>
      </c>
      <c r="D74" s="26" t="s">
        <v>410</v>
      </c>
      <c r="E74" s="26"/>
      <c r="G74" s="26"/>
      <c r="H74" s="26"/>
      <c r="I74" s="26"/>
      <c r="J74" s="30"/>
      <c r="K74" s="26"/>
      <c r="M74" s="30"/>
      <c r="O74" s="26"/>
      <c r="P74" s="31"/>
      <c r="Q74" s="31"/>
      <c r="R74" s="26"/>
      <c r="S74" s="26"/>
      <c r="T74" s="31"/>
      <c r="U74" s="26"/>
      <c r="V74" s="26">
        <f t="shared" si="6"/>
        <v>1</v>
      </c>
      <c r="W74" s="26">
        <f t="shared" si="10"/>
        <v>0</v>
      </c>
      <c r="X74" s="26">
        <f>Data_Base[[#This Row],[B.N Total]]-Data_Base[[#This Row],[Nbre Brachements exécuté]]</f>
        <v>1</v>
      </c>
      <c r="Y74" s="26" t="str">
        <f t="shared" si="7"/>
        <v>lundi</v>
      </c>
      <c r="Z74" s="26" t="str">
        <f t="shared" si="8"/>
        <v>15</v>
      </c>
      <c r="AA74" s="26" t="str">
        <f t="shared" si="11"/>
        <v>04</v>
      </c>
      <c r="AB74" s="26" t="str">
        <f t="shared" si="9"/>
        <v>2024</v>
      </c>
    </row>
    <row r="75" spans="1:28" x14ac:dyDescent="0.25">
      <c r="A75" s="30">
        <v>45397</v>
      </c>
      <c r="B75" s="26" t="s">
        <v>411</v>
      </c>
      <c r="C75" s="26" t="s">
        <v>66</v>
      </c>
      <c r="D75" s="26" t="s">
        <v>412</v>
      </c>
      <c r="E75" s="26"/>
      <c r="G75" s="26"/>
      <c r="H75" s="26"/>
      <c r="I75" s="26"/>
      <c r="J75" s="30"/>
      <c r="K75" s="26"/>
      <c r="M75" s="30"/>
      <c r="O75" s="26"/>
      <c r="P75" s="31"/>
      <c r="Q75" s="31"/>
      <c r="R75" s="26"/>
      <c r="S75" s="26"/>
      <c r="T75" s="31"/>
      <c r="U75" s="26"/>
      <c r="V75" s="26">
        <f t="shared" si="6"/>
        <v>1</v>
      </c>
      <c r="W75" s="26">
        <f t="shared" si="10"/>
        <v>0</v>
      </c>
      <c r="X75" s="26">
        <f>Data_Base[[#This Row],[B.N Total]]-Data_Base[[#This Row],[Nbre Brachements exécuté]]</f>
        <v>1</v>
      </c>
      <c r="Y75" s="26" t="str">
        <f t="shared" si="7"/>
        <v>lundi</v>
      </c>
      <c r="Z75" s="26" t="str">
        <f t="shared" si="8"/>
        <v>15</v>
      </c>
      <c r="AA75" s="26" t="str">
        <f t="shared" si="11"/>
        <v>04</v>
      </c>
      <c r="AB75" s="26" t="str">
        <f t="shared" si="9"/>
        <v>2024</v>
      </c>
    </row>
    <row r="76" spans="1:28" x14ac:dyDescent="0.25">
      <c r="A76" s="30">
        <v>45397</v>
      </c>
      <c r="B76" s="26" t="s">
        <v>411</v>
      </c>
      <c r="C76" s="26" t="s">
        <v>66</v>
      </c>
      <c r="D76" s="26" t="s">
        <v>413</v>
      </c>
      <c r="E76" s="26"/>
      <c r="G76" s="26"/>
      <c r="H76" s="26"/>
      <c r="I76" s="26"/>
      <c r="J76" s="30"/>
      <c r="K76" s="26"/>
      <c r="M76" s="30"/>
      <c r="O76" s="26"/>
      <c r="P76" s="31"/>
      <c r="Q76" s="31"/>
      <c r="R76" s="26"/>
      <c r="S76" s="26"/>
      <c r="T76" s="31"/>
      <c r="U76" s="26"/>
      <c r="V76" s="26">
        <f t="shared" si="6"/>
        <v>1</v>
      </c>
      <c r="W76" s="26">
        <f t="shared" si="10"/>
        <v>0</v>
      </c>
      <c r="X76" s="26">
        <f>Data_Base[[#This Row],[B.N Total]]-Data_Base[[#This Row],[Nbre Brachements exécuté]]</f>
        <v>1</v>
      </c>
      <c r="Y76" s="26" t="str">
        <f t="shared" si="7"/>
        <v>lundi</v>
      </c>
      <c r="Z76" s="26" t="str">
        <f t="shared" si="8"/>
        <v>15</v>
      </c>
      <c r="AA76" s="26" t="str">
        <f t="shared" si="11"/>
        <v>04</v>
      </c>
      <c r="AB76" s="26" t="str">
        <f t="shared" si="9"/>
        <v>2024</v>
      </c>
    </row>
    <row r="77" spans="1:28" x14ac:dyDescent="0.25">
      <c r="A77" s="30">
        <v>45397</v>
      </c>
      <c r="B77" s="26" t="s">
        <v>411</v>
      </c>
      <c r="C77" s="26" t="s">
        <v>66</v>
      </c>
      <c r="D77" s="26" t="s">
        <v>414</v>
      </c>
      <c r="E77" s="26"/>
      <c r="G77" s="26"/>
      <c r="H77" s="26"/>
      <c r="I77" s="26"/>
      <c r="J77" s="30"/>
      <c r="K77" s="26"/>
      <c r="M77" s="30"/>
      <c r="O77" s="26"/>
      <c r="P77" s="31"/>
      <c r="Q77" s="31"/>
      <c r="R77" s="26"/>
      <c r="S77" s="26"/>
      <c r="T77" s="31"/>
      <c r="U77" s="26"/>
      <c r="V77" s="26">
        <f t="shared" si="6"/>
        <v>1</v>
      </c>
      <c r="W77" s="26">
        <f t="shared" si="10"/>
        <v>0</v>
      </c>
      <c r="X77" s="26">
        <f>Data_Base[[#This Row],[B.N Total]]-Data_Base[[#This Row],[Nbre Brachements exécuté]]</f>
        <v>1</v>
      </c>
      <c r="Y77" s="26" t="str">
        <f t="shared" si="7"/>
        <v>lundi</v>
      </c>
      <c r="Z77" s="26" t="str">
        <f t="shared" si="8"/>
        <v>15</v>
      </c>
      <c r="AA77" s="26" t="str">
        <f t="shared" si="11"/>
        <v>04</v>
      </c>
      <c r="AB77" s="26" t="str">
        <f t="shared" si="9"/>
        <v>2024</v>
      </c>
    </row>
    <row r="78" spans="1:28" x14ac:dyDescent="0.25">
      <c r="A78" s="30">
        <v>45397</v>
      </c>
      <c r="B78" s="26" t="s">
        <v>415</v>
      </c>
      <c r="C78" s="26" t="s">
        <v>66</v>
      </c>
      <c r="D78" s="26" t="s">
        <v>416</v>
      </c>
      <c r="E78" s="26"/>
      <c r="G78" s="26"/>
      <c r="H78" s="26"/>
      <c r="I78" s="26"/>
      <c r="J78" s="30"/>
      <c r="K78" s="26"/>
      <c r="M78" s="30"/>
      <c r="O78" s="26"/>
      <c r="P78" s="31"/>
      <c r="Q78" s="31"/>
      <c r="R78" s="26"/>
      <c r="S78" s="26"/>
      <c r="T78" s="31"/>
      <c r="U78" s="26"/>
      <c r="V78" s="26">
        <f t="shared" si="6"/>
        <v>1</v>
      </c>
      <c r="W78" s="26">
        <f t="shared" si="10"/>
        <v>0</v>
      </c>
      <c r="X78" s="26">
        <f>Data_Base[[#This Row],[B.N Total]]-Data_Base[[#This Row],[Nbre Brachements exécuté]]</f>
        <v>1</v>
      </c>
      <c r="Y78" s="26" t="str">
        <f t="shared" si="7"/>
        <v>lundi</v>
      </c>
      <c r="Z78" s="26" t="str">
        <f t="shared" si="8"/>
        <v>15</v>
      </c>
      <c r="AA78" s="26" t="str">
        <f t="shared" si="11"/>
        <v>04</v>
      </c>
      <c r="AB78" s="26" t="str">
        <f t="shared" si="9"/>
        <v>2024</v>
      </c>
    </row>
    <row r="79" spans="1:28" x14ac:dyDescent="0.25">
      <c r="A79" s="30">
        <v>45397</v>
      </c>
      <c r="B79" s="26" t="s">
        <v>417</v>
      </c>
      <c r="C79" s="26" t="s">
        <v>66</v>
      </c>
      <c r="D79" s="26" t="s">
        <v>418</v>
      </c>
      <c r="E79" s="26" t="s">
        <v>142</v>
      </c>
      <c r="F79" s="28" t="s">
        <v>576</v>
      </c>
      <c r="G79" s="26" t="s">
        <v>160</v>
      </c>
      <c r="H79" s="26" t="s">
        <v>325</v>
      </c>
      <c r="I79" s="26" t="s">
        <v>160</v>
      </c>
      <c r="J79" s="30">
        <v>45411</v>
      </c>
      <c r="K79" s="26" t="s">
        <v>546</v>
      </c>
      <c r="L79" s="26" t="s">
        <v>577</v>
      </c>
      <c r="M79" s="30">
        <v>45411</v>
      </c>
      <c r="N79" s="26" t="s">
        <v>577</v>
      </c>
      <c r="O79" s="26" t="s">
        <v>389</v>
      </c>
      <c r="P79" s="31">
        <v>30</v>
      </c>
      <c r="Q79" s="31"/>
      <c r="R79" s="26" t="s">
        <v>547</v>
      </c>
      <c r="S79" s="26"/>
      <c r="T79" s="31"/>
      <c r="U79" s="26"/>
      <c r="V79" s="26">
        <f t="shared" si="6"/>
        <v>1</v>
      </c>
      <c r="W79" s="26">
        <f t="shared" si="10"/>
        <v>1</v>
      </c>
      <c r="X79" s="26">
        <f>Data_Base[[#This Row],[B.N Total]]-Data_Base[[#This Row],[Nbre Brachements exécuté]]</f>
        <v>0</v>
      </c>
      <c r="Y79" s="26" t="str">
        <f t="shared" si="7"/>
        <v>lundi</v>
      </c>
      <c r="Z79" s="26" t="str">
        <f t="shared" si="8"/>
        <v>15</v>
      </c>
      <c r="AA79" s="26" t="str">
        <f t="shared" si="11"/>
        <v>04</v>
      </c>
      <c r="AB79" s="26" t="str">
        <f t="shared" si="9"/>
        <v>2024</v>
      </c>
    </row>
    <row r="80" spans="1:28" x14ac:dyDescent="0.25">
      <c r="A80" s="30">
        <v>45397</v>
      </c>
      <c r="B80" s="26" t="s">
        <v>419</v>
      </c>
      <c r="C80" s="26" t="s">
        <v>66</v>
      </c>
      <c r="D80" s="26" t="s">
        <v>420</v>
      </c>
      <c r="E80" s="26" t="s">
        <v>142</v>
      </c>
      <c r="F80" s="28" t="s">
        <v>578</v>
      </c>
      <c r="G80" s="26" t="s">
        <v>160</v>
      </c>
      <c r="H80" s="26" t="s">
        <v>325</v>
      </c>
      <c r="I80" s="26" t="s">
        <v>579</v>
      </c>
      <c r="J80" s="30">
        <v>45414</v>
      </c>
      <c r="K80" s="26" t="s">
        <v>546</v>
      </c>
      <c r="L80" s="26" t="s">
        <v>580</v>
      </c>
      <c r="M80" s="30">
        <v>45414</v>
      </c>
      <c r="N80" s="26" t="s">
        <v>580</v>
      </c>
      <c r="O80" s="26" t="s">
        <v>389</v>
      </c>
      <c r="P80" s="31">
        <v>10</v>
      </c>
      <c r="Q80" s="31">
        <v>0</v>
      </c>
      <c r="R80" s="26" t="s">
        <v>547</v>
      </c>
      <c r="S80" s="26"/>
      <c r="T80" s="31"/>
      <c r="U80" s="26"/>
      <c r="V80" s="26">
        <f t="shared" si="6"/>
        <v>1</v>
      </c>
      <c r="W80" s="26">
        <f t="shared" si="10"/>
        <v>1</v>
      </c>
      <c r="X80" s="26">
        <f>Data_Base[[#This Row],[B.N Total]]-Data_Base[[#This Row],[Nbre Brachements exécuté]]</f>
        <v>0</v>
      </c>
      <c r="Y80" s="26" t="str">
        <f t="shared" si="7"/>
        <v>lundi</v>
      </c>
      <c r="Z80" s="26" t="str">
        <f t="shared" si="8"/>
        <v>15</v>
      </c>
      <c r="AA80" s="26" t="str">
        <f t="shared" si="11"/>
        <v>04</v>
      </c>
      <c r="AB80" s="26" t="str">
        <f t="shared" si="9"/>
        <v>2024</v>
      </c>
    </row>
    <row r="81" spans="1:28" x14ac:dyDescent="0.25">
      <c r="A81" s="30">
        <v>45397</v>
      </c>
      <c r="B81" s="26" t="s">
        <v>403</v>
      </c>
      <c r="C81" s="26" t="s">
        <v>66</v>
      </c>
      <c r="D81" s="26" t="s">
        <v>404</v>
      </c>
      <c r="E81" s="26"/>
      <c r="G81" s="26"/>
      <c r="H81" s="26"/>
      <c r="I81" s="26"/>
      <c r="J81" s="30"/>
      <c r="K81" s="26"/>
      <c r="M81" s="30"/>
      <c r="O81" s="26"/>
      <c r="P81" s="31"/>
      <c r="Q81" s="31"/>
      <c r="R81" s="26"/>
      <c r="S81" s="26"/>
      <c r="T81" s="31"/>
      <c r="U81" s="26"/>
      <c r="V81" s="26">
        <f t="shared" si="6"/>
        <v>1</v>
      </c>
      <c r="W81" s="26">
        <f t="shared" si="10"/>
        <v>0</v>
      </c>
      <c r="X81" s="26">
        <f>Data_Base[[#This Row],[B.N Total]]-Data_Base[[#This Row],[Nbre Brachements exécuté]]</f>
        <v>1</v>
      </c>
      <c r="Y81" s="26" t="str">
        <f t="shared" si="7"/>
        <v>lundi</v>
      </c>
      <c r="Z81" s="26" t="str">
        <f t="shared" si="8"/>
        <v>15</v>
      </c>
      <c r="AA81" s="26" t="str">
        <f t="shared" si="11"/>
        <v>04</v>
      </c>
      <c r="AB81" s="26" t="str">
        <f t="shared" si="9"/>
        <v>2024</v>
      </c>
    </row>
    <row r="82" spans="1:28" x14ac:dyDescent="0.25">
      <c r="A82" s="30">
        <v>45397</v>
      </c>
      <c r="B82" s="26" t="s">
        <v>403</v>
      </c>
      <c r="C82" s="26" t="s">
        <v>66</v>
      </c>
      <c r="D82" s="26" t="s">
        <v>421</v>
      </c>
      <c r="E82" s="26"/>
      <c r="G82" s="26"/>
      <c r="H82" s="26"/>
      <c r="I82" s="26"/>
      <c r="J82" s="30"/>
      <c r="K82" s="26"/>
      <c r="M82" s="30"/>
      <c r="O82" s="26"/>
      <c r="P82" s="31"/>
      <c r="Q82" s="31"/>
      <c r="R82" s="26"/>
      <c r="S82" s="26"/>
      <c r="T82" s="31"/>
      <c r="U82" s="26"/>
      <c r="V82" s="26">
        <f t="shared" si="6"/>
        <v>1</v>
      </c>
      <c r="W82" s="26">
        <f t="shared" si="10"/>
        <v>0</v>
      </c>
      <c r="X82" s="26">
        <f>Data_Base[[#This Row],[B.N Total]]-Data_Base[[#This Row],[Nbre Brachements exécuté]]</f>
        <v>1</v>
      </c>
      <c r="Y82" s="26" t="str">
        <f t="shared" si="7"/>
        <v>lundi</v>
      </c>
      <c r="Z82" s="26" t="str">
        <f t="shared" si="8"/>
        <v>15</v>
      </c>
      <c r="AA82" s="26" t="str">
        <f t="shared" si="11"/>
        <v>04</v>
      </c>
      <c r="AB82" s="26" t="str">
        <f t="shared" si="9"/>
        <v>2024</v>
      </c>
    </row>
    <row r="83" spans="1:28" x14ac:dyDescent="0.25">
      <c r="A83" s="30">
        <v>45397</v>
      </c>
      <c r="B83" s="26" t="s">
        <v>422</v>
      </c>
      <c r="C83" s="26" t="s">
        <v>2</v>
      </c>
      <c r="D83" s="26" t="s">
        <v>423</v>
      </c>
      <c r="E83" s="26"/>
      <c r="G83" s="26"/>
      <c r="H83" s="26"/>
      <c r="I83" s="26"/>
      <c r="J83" s="30"/>
      <c r="K83" s="26"/>
      <c r="M83" s="30"/>
      <c r="O83" s="26"/>
      <c r="P83" s="31"/>
      <c r="Q83" s="31"/>
      <c r="R83" s="26"/>
      <c r="S83" s="26"/>
      <c r="T83" s="31"/>
      <c r="U83" s="26"/>
      <c r="V83" s="26">
        <f t="shared" si="6"/>
        <v>1</v>
      </c>
      <c r="W83" s="26">
        <f t="shared" si="10"/>
        <v>0</v>
      </c>
      <c r="X83" s="26">
        <f>Data_Base[[#This Row],[B.N Total]]-Data_Base[[#This Row],[Nbre Brachements exécuté]]</f>
        <v>1</v>
      </c>
      <c r="Y83" s="26" t="str">
        <f t="shared" si="7"/>
        <v>lundi</v>
      </c>
      <c r="Z83" s="26" t="str">
        <f t="shared" si="8"/>
        <v>15</v>
      </c>
      <c r="AA83" s="26" t="str">
        <f t="shared" si="11"/>
        <v>04</v>
      </c>
      <c r="AB83" s="26" t="str">
        <f t="shared" si="9"/>
        <v>2024</v>
      </c>
    </row>
    <row r="84" spans="1:28" x14ac:dyDescent="0.25">
      <c r="A84" s="30">
        <v>45397</v>
      </c>
      <c r="B84" s="26" t="s">
        <v>424</v>
      </c>
      <c r="C84" s="26" t="s">
        <v>2</v>
      </c>
      <c r="D84" s="26" t="s">
        <v>425</v>
      </c>
      <c r="E84" s="26"/>
      <c r="G84" s="26"/>
      <c r="H84" s="26"/>
      <c r="I84" s="26"/>
      <c r="J84" s="30"/>
      <c r="K84" s="26"/>
      <c r="M84" s="30"/>
      <c r="O84" s="26"/>
      <c r="P84" s="31"/>
      <c r="Q84" s="31"/>
      <c r="R84" s="26"/>
      <c r="S84" s="26"/>
      <c r="T84" s="31"/>
      <c r="U84" s="26"/>
      <c r="V84" s="26">
        <f t="shared" si="6"/>
        <v>1</v>
      </c>
      <c r="W84" s="26">
        <f t="shared" si="10"/>
        <v>0</v>
      </c>
      <c r="X84" s="26">
        <f>Data_Base[[#This Row],[B.N Total]]-Data_Base[[#This Row],[Nbre Brachements exécuté]]</f>
        <v>1</v>
      </c>
      <c r="Y84" s="26" t="str">
        <f t="shared" si="7"/>
        <v>lundi</v>
      </c>
      <c r="Z84" s="26" t="str">
        <f t="shared" si="8"/>
        <v>15</v>
      </c>
      <c r="AA84" s="26" t="str">
        <f t="shared" si="11"/>
        <v>04</v>
      </c>
      <c r="AB84" s="26" t="str">
        <f t="shared" si="9"/>
        <v>2024</v>
      </c>
    </row>
    <row r="85" spans="1:28" x14ac:dyDescent="0.25">
      <c r="A85" s="30">
        <v>45397</v>
      </c>
      <c r="B85" s="26" t="s">
        <v>426</v>
      </c>
      <c r="C85" s="26" t="s">
        <v>2</v>
      </c>
      <c r="D85" s="26" t="s">
        <v>427</v>
      </c>
      <c r="E85" s="26"/>
      <c r="G85" s="26"/>
      <c r="H85" s="26"/>
      <c r="I85" s="26"/>
      <c r="J85" s="30"/>
      <c r="K85" s="26"/>
      <c r="M85" s="30"/>
      <c r="O85" s="26"/>
      <c r="P85" s="31"/>
      <c r="Q85" s="31"/>
      <c r="R85" s="26"/>
      <c r="S85" s="26"/>
      <c r="T85" s="31"/>
      <c r="U85" s="26"/>
      <c r="V85" s="26">
        <f t="shared" si="6"/>
        <v>1</v>
      </c>
      <c r="W85" s="26">
        <f t="shared" si="10"/>
        <v>0</v>
      </c>
      <c r="X85" s="26">
        <f>Data_Base[[#This Row],[B.N Total]]-Data_Base[[#This Row],[Nbre Brachements exécuté]]</f>
        <v>1</v>
      </c>
      <c r="Y85" s="26" t="str">
        <f t="shared" si="7"/>
        <v>lundi</v>
      </c>
      <c r="Z85" s="26" t="str">
        <f t="shared" si="8"/>
        <v>15</v>
      </c>
      <c r="AA85" s="26" t="str">
        <f t="shared" si="11"/>
        <v>04</v>
      </c>
      <c r="AB85" s="26" t="str">
        <f t="shared" si="9"/>
        <v>2024</v>
      </c>
    </row>
    <row r="86" spans="1:28" x14ac:dyDescent="0.25">
      <c r="A86" s="30">
        <v>45397</v>
      </c>
      <c r="B86" s="26" t="s">
        <v>428</v>
      </c>
      <c r="C86" s="26" t="s">
        <v>2</v>
      </c>
      <c r="D86" s="26" t="s">
        <v>429</v>
      </c>
      <c r="E86" s="26"/>
      <c r="G86" s="26"/>
      <c r="H86" s="26"/>
      <c r="I86" s="26"/>
      <c r="J86" s="30"/>
      <c r="K86" s="26"/>
      <c r="M86" s="30"/>
      <c r="O86" s="26"/>
      <c r="P86" s="31"/>
      <c r="Q86" s="31"/>
      <c r="R86" s="26"/>
      <c r="S86" s="26"/>
      <c r="T86" s="31"/>
      <c r="U86" s="26"/>
      <c r="V86" s="26">
        <f t="shared" si="6"/>
        <v>1</v>
      </c>
      <c r="W86" s="26">
        <f t="shared" si="10"/>
        <v>0</v>
      </c>
      <c r="X86" s="26">
        <f>Data_Base[[#This Row],[B.N Total]]-Data_Base[[#This Row],[Nbre Brachements exécuté]]</f>
        <v>1</v>
      </c>
      <c r="Y86" s="26" t="str">
        <f t="shared" si="7"/>
        <v>lundi</v>
      </c>
      <c r="Z86" s="26" t="str">
        <f t="shared" si="8"/>
        <v>15</v>
      </c>
      <c r="AA86" s="26" t="str">
        <f t="shared" si="11"/>
        <v>04</v>
      </c>
      <c r="AB86" s="26" t="str">
        <f t="shared" si="9"/>
        <v>2024</v>
      </c>
    </row>
    <row r="87" spans="1:28" x14ac:dyDescent="0.25">
      <c r="A87" s="30">
        <v>45397</v>
      </c>
      <c r="B87" s="26" t="s">
        <v>430</v>
      </c>
      <c r="C87" s="26" t="s">
        <v>2</v>
      </c>
      <c r="D87" s="26" t="s">
        <v>431</v>
      </c>
      <c r="E87" s="26" t="s">
        <v>142</v>
      </c>
      <c r="F87" s="28" t="s">
        <v>193</v>
      </c>
      <c r="G87" s="26" t="s">
        <v>160</v>
      </c>
      <c r="H87" s="26" t="s">
        <v>567</v>
      </c>
      <c r="I87" s="26" t="s">
        <v>573</v>
      </c>
      <c r="J87" s="30">
        <v>45420</v>
      </c>
      <c r="K87" s="26" t="s">
        <v>546</v>
      </c>
      <c r="L87" s="26" t="s">
        <v>581</v>
      </c>
      <c r="M87" s="30">
        <v>45420</v>
      </c>
      <c r="N87" s="26" t="s">
        <v>581</v>
      </c>
      <c r="O87" s="26" t="s">
        <v>582</v>
      </c>
      <c r="P87" s="31">
        <v>15</v>
      </c>
      <c r="Q87" s="31">
        <v>10</v>
      </c>
      <c r="R87" s="26" t="s">
        <v>547</v>
      </c>
      <c r="S87" s="26"/>
      <c r="T87" s="31"/>
      <c r="U87" s="26"/>
      <c r="V87" s="26">
        <f t="shared" si="6"/>
        <v>1</v>
      </c>
      <c r="W87" s="26">
        <f t="shared" si="10"/>
        <v>1</v>
      </c>
      <c r="X87" s="26">
        <f>Data_Base[[#This Row],[B.N Total]]-Data_Base[[#This Row],[Nbre Brachements exécuté]]</f>
        <v>0</v>
      </c>
      <c r="Y87" s="26" t="str">
        <f t="shared" si="7"/>
        <v>lundi</v>
      </c>
      <c r="Z87" s="26" t="str">
        <f t="shared" si="8"/>
        <v>15</v>
      </c>
      <c r="AA87" s="26" t="str">
        <f t="shared" si="11"/>
        <v>04</v>
      </c>
      <c r="AB87" s="26" t="str">
        <f t="shared" si="9"/>
        <v>2024</v>
      </c>
    </row>
    <row r="88" spans="1:28" x14ac:dyDescent="0.25">
      <c r="A88" s="30">
        <v>45397</v>
      </c>
      <c r="B88" s="26" t="s">
        <v>583</v>
      </c>
      <c r="C88" s="26" t="s">
        <v>2</v>
      </c>
      <c r="D88" s="26" t="s">
        <v>432</v>
      </c>
      <c r="E88" s="26"/>
      <c r="G88" s="26"/>
      <c r="H88" s="26"/>
      <c r="I88" s="26"/>
      <c r="J88" s="30"/>
      <c r="K88" s="26"/>
      <c r="M88" s="30"/>
      <c r="O88" s="26"/>
      <c r="P88" s="31"/>
      <c r="Q88" s="31"/>
      <c r="R88" s="26"/>
      <c r="S88" s="26"/>
      <c r="T88" s="31"/>
      <c r="U88" s="26"/>
      <c r="V88" s="26">
        <f t="shared" si="6"/>
        <v>1</v>
      </c>
      <c r="W88" s="26">
        <f t="shared" si="10"/>
        <v>0</v>
      </c>
      <c r="X88" s="26">
        <f>Data_Base[[#This Row],[B.N Total]]-Data_Base[[#This Row],[Nbre Brachements exécuté]]</f>
        <v>1</v>
      </c>
      <c r="Y88" s="26" t="str">
        <f t="shared" si="7"/>
        <v>lundi</v>
      </c>
      <c r="Z88" s="26" t="str">
        <f t="shared" si="8"/>
        <v>15</v>
      </c>
      <c r="AA88" s="26" t="str">
        <f t="shared" si="11"/>
        <v>04</v>
      </c>
      <c r="AB88" s="26" t="str">
        <f t="shared" si="9"/>
        <v>2024</v>
      </c>
    </row>
    <row r="89" spans="1:28" x14ac:dyDescent="0.25">
      <c r="A89" s="30">
        <v>45397</v>
      </c>
      <c r="B89" s="26" t="s">
        <v>434</v>
      </c>
      <c r="C89" s="26" t="s">
        <v>2</v>
      </c>
      <c r="D89" s="26" t="s">
        <v>433</v>
      </c>
      <c r="E89" s="26" t="s">
        <v>142</v>
      </c>
      <c r="F89" s="28" t="s">
        <v>584</v>
      </c>
      <c r="G89" s="26" t="s">
        <v>585</v>
      </c>
      <c r="H89" s="26" t="s">
        <v>161</v>
      </c>
      <c r="I89" s="26" t="s">
        <v>586</v>
      </c>
      <c r="J89" s="30">
        <v>45418</v>
      </c>
      <c r="K89" s="26" t="s">
        <v>546</v>
      </c>
      <c r="L89" s="26" t="s">
        <v>587</v>
      </c>
      <c r="M89" s="30">
        <v>45418</v>
      </c>
      <c r="N89" s="26" t="s">
        <v>587</v>
      </c>
      <c r="O89" s="26"/>
      <c r="P89" s="31">
        <v>15</v>
      </c>
      <c r="Q89" s="31">
        <v>10</v>
      </c>
      <c r="R89" s="26" t="s">
        <v>547</v>
      </c>
      <c r="S89" s="26"/>
      <c r="T89" s="31" t="s">
        <v>549</v>
      </c>
      <c r="U89" s="26"/>
      <c r="V89" s="26">
        <f t="shared" si="6"/>
        <v>1</v>
      </c>
      <c r="W89" s="26">
        <f t="shared" si="10"/>
        <v>1</v>
      </c>
      <c r="X89" s="26">
        <f>Data_Base[[#This Row],[B.N Total]]-Data_Base[[#This Row],[Nbre Brachements exécuté]]</f>
        <v>0</v>
      </c>
      <c r="Y89" s="26" t="str">
        <f t="shared" si="7"/>
        <v>lundi</v>
      </c>
      <c r="Z89" s="26" t="str">
        <f t="shared" si="8"/>
        <v>15</v>
      </c>
      <c r="AA89" s="26" t="str">
        <f t="shared" si="11"/>
        <v>04</v>
      </c>
      <c r="AB89" s="26" t="str">
        <f t="shared" si="9"/>
        <v>2024</v>
      </c>
    </row>
    <row r="90" spans="1:28" x14ac:dyDescent="0.25">
      <c r="A90" s="30">
        <v>45397</v>
      </c>
      <c r="B90" s="26" t="s">
        <v>434</v>
      </c>
      <c r="C90" s="26" t="s">
        <v>2</v>
      </c>
      <c r="D90" s="26" t="s">
        <v>435</v>
      </c>
      <c r="E90" s="26" t="s">
        <v>142</v>
      </c>
      <c r="F90" s="28" t="s">
        <v>584</v>
      </c>
      <c r="G90" s="26" t="s">
        <v>585</v>
      </c>
      <c r="H90" s="26" t="s">
        <v>161</v>
      </c>
      <c r="I90" s="26" t="s">
        <v>586</v>
      </c>
      <c r="J90" s="30">
        <v>45418</v>
      </c>
      <c r="K90" s="26" t="s">
        <v>546</v>
      </c>
      <c r="L90" s="26" t="s">
        <v>588</v>
      </c>
      <c r="M90" s="30">
        <v>45418</v>
      </c>
      <c r="N90" s="26" t="s">
        <v>588</v>
      </c>
      <c r="O90" s="26"/>
      <c r="P90" s="31">
        <v>15</v>
      </c>
      <c r="Q90" s="31">
        <v>10</v>
      </c>
      <c r="R90" s="26" t="s">
        <v>547</v>
      </c>
      <c r="S90" s="26"/>
      <c r="T90" s="31" t="s">
        <v>549</v>
      </c>
      <c r="U90" s="26"/>
      <c r="V90" s="26">
        <f t="shared" si="6"/>
        <v>1</v>
      </c>
      <c r="W90" s="26">
        <f t="shared" si="10"/>
        <v>1</v>
      </c>
      <c r="X90" s="26">
        <f>Data_Base[[#This Row],[B.N Total]]-Data_Base[[#This Row],[Nbre Brachements exécuté]]</f>
        <v>0</v>
      </c>
      <c r="Y90" s="26" t="str">
        <f t="shared" si="7"/>
        <v>lundi</v>
      </c>
      <c r="Z90" s="26" t="str">
        <f t="shared" si="8"/>
        <v>15</v>
      </c>
      <c r="AA90" s="26" t="str">
        <f t="shared" si="11"/>
        <v>04</v>
      </c>
      <c r="AB90" s="26" t="str">
        <f t="shared" si="9"/>
        <v>2024</v>
      </c>
    </row>
    <row r="91" spans="1:28" x14ac:dyDescent="0.25">
      <c r="A91" s="30">
        <v>45397</v>
      </c>
      <c r="B91" s="26" t="s">
        <v>434</v>
      </c>
      <c r="C91" s="26" t="s">
        <v>2</v>
      </c>
      <c r="D91" s="26" t="s">
        <v>436</v>
      </c>
      <c r="E91" s="26" t="s">
        <v>142</v>
      </c>
      <c r="F91" s="28" t="s">
        <v>584</v>
      </c>
      <c r="G91" s="26" t="s">
        <v>585</v>
      </c>
      <c r="H91" s="26" t="s">
        <v>161</v>
      </c>
      <c r="I91" s="26" t="s">
        <v>586</v>
      </c>
      <c r="J91" s="30">
        <v>45418</v>
      </c>
      <c r="K91" s="26" t="s">
        <v>546</v>
      </c>
      <c r="L91" s="26" t="s">
        <v>589</v>
      </c>
      <c r="M91" s="30">
        <v>45418</v>
      </c>
      <c r="N91" s="26" t="s">
        <v>589</v>
      </c>
      <c r="O91" s="26"/>
      <c r="P91" s="31">
        <v>15</v>
      </c>
      <c r="Q91" s="31">
        <v>10</v>
      </c>
      <c r="R91" s="26" t="s">
        <v>547</v>
      </c>
      <c r="S91" s="26"/>
      <c r="T91" s="31" t="s">
        <v>549</v>
      </c>
      <c r="U91" s="26"/>
      <c r="V91" s="26">
        <f t="shared" si="6"/>
        <v>1</v>
      </c>
      <c r="W91" s="26">
        <f t="shared" si="10"/>
        <v>1</v>
      </c>
      <c r="X91" s="26">
        <f>Data_Base[[#This Row],[B.N Total]]-Data_Base[[#This Row],[Nbre Brachements exécuté]]</f>
        <v>0</v>
      </c>
      <c r="Y91" s="26" t="str">
        <f t="shared" si="7"/>
        <v>lundi</v>
      </c>
      <c r="Z91" s="26" t="str">
        <f t="shared" si="8"/>
        <v>15</v>
      </c>
      <c r="AA91" s="26" t="str">
        <f t="shared" si="11"/>
        <v>04</v>
      </c>
      <c r="AB91" s="26" t="str">
        <f t="shared" si="9"/>
        <v>2024</v>
      </c>
    </row>
    <row r="92" spans="1:28" x14ac:dyDescent="0.25">
      <c r="A92" s="30">
        <v>45397</v>
      </c>
      <c r="B92" s="26" t="s">
        <v>437</v>
      </c>
      <c r="C92" s="26" t="s">
        <v>2</v>
      </c>
      <c r="D92" s="26" t="s">
        <v>438</v>
      </c>
      <c r="E92" s="26"/>
      <c r="G92" s="26"/>
      <c r="H92" s="26"/>
      <c r="I92" s="26"/>
      <c r="J92" s="30"/>
      <c r="K92" s="26"/>
      <c r="M92" s="30"/>
      <c r="O92" s="26"/>
      <c r="P92" s="31"/>
      <c r="Q92" s="31"/>
      <c r="R92" s="26"/>
      <c r="S92" s="26"/>
      <c r="T92" s="31"/>
      <c r="U92" s="26"/>
      <c r="V92" s="26">
        <f t="shared" si="6"/>
        <v>1</v>
      </c>
      <c r="W92" s="26">
        <f t="shared" si="10"/>
        <v>0</v>
      </c>
      <c r="X92" s="26">
        <f>Data_Base[[#This Row],[B.N Total]]-Data_Base[[#This Row],[Nbre Brachements exécuté]]</f>
        <v>1</v>
      </c>
      <c r="Y92" s="26" t="str">
        <f t="shared" si="7"/>
        <v>lundi</v>
      </c>
      <c r="Z92" s="26" t="str">
        <f t="shared" si="8"/>
        <v>15</v>
      </c>
      <c r="AA92" s="26" t="str">
        <f t="shared" si="11"/>
        <v>04</v>
      </c>
      <c r="AB92" s="26" t="str">
        <f t="shared" si="9"/>
        <v>2024</v>
      </c>
    </row>
    <row r="93" spans="1:28" x14ac:dyDescent="0.25">
      <c r="A93" s="30">
        <v>45397</v>
      </c>
      <c r="B93" s="26" t="s">
        <v>439</v>
      </c>
      <c r="C93" s="26" t="s">
        <v>2</v>
      </c>
      <c r="D93" s="26" t="s">
        <v>590</v>
      </c>
      <c r="E93" s="26"/>
      <c r="G93" s="26"/>
      <c r="H93" s="26"/>
      <c r="I93" s="26"/>
      <c r="J93" s="30"/>
      <c r="K93" s="26"/>
      <c r="M93" s="30"/>
      <c r="O93" s="26"/>
      <c r="P93" s="31"/>
      <c r="Q93" s="31"/>
      <c r="R93" s="26"/>
      <c r="S93" s="26"/>
      <c r="T93" s="31"/>
      <c r="U93" s="26"/>
      <c r="V93" s="26">
        <f t="shared" si="6"/>
        <v>1</v>
      </c>
      <c r="W93" s="26">
        <f t="shared" si="10"/>
        <v>0</v>
      </c>
      <c r="X93" s="26">
        <f>Data_Base[[#This Row],[B.N Total]]-Data_Base[[#This Row],[Nbre Brachements exécuté]]</f>
        <v>1</v>
      </c>
      <c r="Y93" s="26" t="str">
        <f t="shared" si="7"/>
        <v>lundi</v>
      </c>
      <c r="Z93" s="26" t="str">
        <f t="shared" si="8"/>
        <v>15</v>
      </c>
      <c r="AA93" s="26" t="str">
        <f t="shared" si="11"/>
        <v>04</v>
      </c>
      <c r="AB93" s="26" t="str">
        <f t="shared" si="9"/>
        <v>2024</v>
      </c>
    </row>
    <row r="94" spans="1:28" x14ac:dyDescent="0.25">
      <c r="A94" s="30">
        <v>45397</v>
      </c>
      <c r="B94" s="26" t="s">
        <v>440</v>
      </c>
      <c r="C94" s="26" t="s">
        <v>2</v>
      </c>
      <c r="D94" s="26" t="s">
        <v>441</v>
      </c>
      <c r="E94" s="26"/>
      <c r="G94" s="26"/>
      <c r="H94" s="26"/>
      <c r="I94" s="26"/>
      <c r="J94" s="30"/>
      <c r="K94" s="26"/>
      <c r="M94" s="30"/>
      <c r="O94" s="26"/>
      <c r="P94" s="31"/>
      <c r="Q94" s="31"/>
      <c r="R94" s="26"/>
      <c r="S94" s="26"/>
      <c r="T94" s="31"/>
      <c r="U94" s="26"/>
      <c r="V94" s="26">
        <f t="shared" si="6"/>
        <v>1</v>
      </c>
      <c r="W94" s="26">
        <f t="shared" si="10"/>
        <v>0</v>
      </c>
      <c r="X94" s="26">
        <f>Data_Base[[#This Row],[B.N Total]]-Data_Base[[#This Row],[Nbre Brachements exécuté]]</f>
        <v>1</v>
      </c>
      <c r="Y94" s="26" t="str">
        <f t="shared" si="7"/>
        <v>lundi</v>
      </c>
      <c r="Z94" s="26" t="str">
        <f t="shared" si="8"/>
        <v>15</v>
      </c>
      <c r="AA94" s="26" t="str">
        <f t="shared" si="11"/>
        <v>04</v>
      </c>
      <c r="AB94" s="26" t="str">
        <f t="shared" si="9"/>
        <v>2024</v>
      </c>
    </row>
    <row r="95" spans="1:28" x14ac:dyDescent="0.25">
      <c r="A95" s="30">
        <v>45397</v>
      </c>
      <c r="B95" s="26" t="s">
        <v>442</v>
      </c>
      <c r="C95" s="26" t="s">
        <v>2</v>
      </c>
      <c r="D95" s="26" t="s">
        <v>443</v>
      </c>
      <c r="E95" s="26"/>
      <c r="G95" s="26"/>
      <c r="H95" s="26"/>
      <c r="I95" s="26"/>
      <c r="J95" s="30"/>
      <c r="K95" s="26"/>
      <c r="M95" s="30"/>
      <c r="O95" s="26"/>
      <c r="P95" s="31"/>
      <c r="Q95" s="31"/>
      <c r="R95" s="26"/>
      <c r="S95" s="26"/>
      <c r="T95" s="31"/>
      <c r="U95" s="26"/>
      <c r="V95" s="26">
        <f t="shared" si="6"/>
        <v>1</v>
      </c>
      <c r="W95" s="26">
        <f t="shared" si="10"/>
        <v>0</v>
      </c>
      <c r="X95" s="26">
        <f>Data_Base[[#This Row],[B.N Total]]-Data_Base[[#This Row],[Nbre Brachements exécuté]]</f>
        <v>1</v>
      </c>
      <c r="Y95" s="26" t="str">
        <f t="shared" si="7"/>
        <v>lundi</v>
      </c>
      <c r="Z95" s="26" t="str">
        <f t="shared" si="8"/>
        <v>15</v>
      </c>
      <c r="AA95" s="26" t="str">
        <f t="shared" si="11"/>
        <v>04</v>
      </c>
      <c r="AB95" s="26" t="str">
        <f t="shared" si="9"/>
        <v>2024</v>
      </c>
    </row>
    <row r="96" spans="1:28" x14ac:dyDescent="0.25">
      <c r="A96" s="30">
        <v>45397</v>
      </c>
      <c r="B96" s="26" t="s">
        <v>444</v>
      </c>
      <c r="C96" s="26" t="s">
        <v>2</v>
      </c>
      <c r="D96" s="26" t="s">
        <v>445</v>
      </c>
      <c r="E96" s="26"/>
      <c r="G96" s="26"/>
      <c r="H96" s="26"/>
      <c r="I96" s="26"/>
      <c r="J96" s="30"/>
      <c r="K96" s="26"/>
      <c r="M96" s="30"/>
      <c r="O96" s="26"/>
      <c r="P96" s="31"/>
      <c r="Q96" s="31"/>
      <c r="R96" s="26"/>
      <c r="S96" s="26"/>
      <c r="T96" s="31"/>
      <c r="U96" s="26"/>
      <c r="V96" s="26">
        <f t="shared" si="6"/>
        <v>1</v>
      </c>
      <c r="W96" s="26">
        <f t="shared" si="10"/>
        <v>0</v>
      </c>
      <c r="X96" s="26">
        <f>Data_Base[[#This Row],[B.N Total]]-Data_Base[[#This Row],[Nbre Brachements exécuté]]</f>
        <v>1</v>
      </c>
      <c r="Y96" s="26" t="str">
        <f t="shared" si="7"/>
        <v>lundi</v>
      </c>
      <c r="Z96" s="26" t="str">
        <f t="shared" si="8"/>
        <v>15</v>
      </c>
      <c r="AA96" s="26" t="str">
        <f t="shared" si="11"/>
        <v>04</v>
      </c>
      <c r="AB96" s="26" t="str">
        <f t="shared" si="9"/>
        <v>2024</v>
      </c>
    </row>
    <row r="97" spans="1:28" x14ac:dyDescent="0.25">
      <c r="A97" s="30">
        <v>45397</v>
      </c>
      <c r="B97" s="26" t="s">
        <v>446</v>
      </c>
      <c r="C97" s="26" t="s">
        <v>2</v>
      </c>
      <c r="D97" s="26" t="s">
        <v>447</v>
      </c>
      <c r="E97" s="26"/>
      <c r="G97" s="26"/>
      <c r="H97" s="26"/>
      <c r="I97" s="26"/>
      <c r="J97" s="30"/>
      <c r="K97" s="26"/>
      <c r="M97" s="30"/>
      <c r="O97" s="26"/>
      <c r="P97" s="31"/>
      <c r="Q97" s="31"/>
      <c r="R97" s="26"/>
      <c r="S97" s="26"/>
      <c r="T97" s="31"/>
      <c r="U97" s="26"/>
      <c r="V97" s="26">
        <f t="shared" si="6"/>
        <v>1</v>
      </c>
      <c r="W97" s="26">
        <f t="shared" si="10"/>
        <v>0</v>
      </c>
      <c r="X97" s="26">
        <f>Data_Base[[#This Row],[B.N Total]]-Data_Base[[#This Row],[Nbre Brachements exécuté]]</f>
        <v>1</v>
      </c>
      <c r="Y97" s="26" t="str">
        <f t="shared" si="7"/>
        <v>lundi</v>
      </c>
      <c r="Z97" s="26" t="str">
        <f t="shared" si="8"/>
        <v>15</v>
      </c>
      <c r="AA97" s="26" t="str">
        <f t="shared" si="11"/>
        <v>04</v>
      </c>
      <c r="AB97" s="26" t="str">
        <f t="shared" si="9"/>
        <v>2024</v>
      </c>
    </row>
    <row r="98" spans="1:28" x14ac:dyDescent="0.25">
      <c r="A98" s="30">
        <v>45397</v>
      </c>
      <c r="B98" s="26" t="s">
        <v>448</v>
      </c>
      <c r="C98" s="26" t="s">
        <v>2</v>
      </c>
      <c r="D98" s="26" t="s">
        <v>449</v>
      </c>
      <c r="E98" s="26"/>
      <c r="G98" s="26"/>
      <c r="H98" s="26"/>
      <c r="I98" s="26"/>
      <c r="J98" s="30"/>
      <c r="K98" s="26"/>
      <c r="M98" s="30"/>
      <c r="O98" s="26"/>
      <c r="P98" s="31"/>
      <c r="Q98" s="31"/>
      <c r="R98" s="26"/>
      <c r="S98" s="26"/>
      <c r="T98" s="31"/>
      <c r="U98" s="26"/>
      <c r="V98" s="26">
        <f t="shared" si="6"/>
        <v>1</v>
      </c>
      <c r="W98" s="26">
        <f t="shared" si="10"/>
        <v>0</v>
      </c>
      <c r="X98" s="26">
        <f>Data_Base[[#This Row],[B.N Total]]-Data_Base[[#This Row],[Nbre Brachements exécuté]]</f>
        <v>1</v>
      </c>
      <c r="Y98" s="26" t="str">
        <f t="shared" si="7"/>
        <v>lundi</v>
      </c>
      <c r="Z98" s="26" t="str">
        <f t="shared" si="8"/>
        <v>15</v>
      </c>
      <c r="AA98" s="26" t="str">
        <f t="shared" si="11"/>
        <v>04</v>
      </c>
      <c r="AB98" s="26" t="str">
        <f t="shared" si="9"/>
        <v>2024</v>
      </c>
    </row>
    <row r="99" spans="1:28" x14ac:dyDescent="0.25">
      <c r="A99" s="30">
        <v>45397</v>
      </c>
      <c r="B99" s="26" t="s">
        <v>450</v>
      </c>
      <c r="C99" s="26" t="s">
        <v>2</v>
      </c>
      <c r="D99" s="26" t="s">
        <v>451</v>
      </c>
      <c r="E99" s="26" t="s">
        <v>142</v>
      </c>
      <c r="F99" s="28" t="s">
        <v>591</v>
      </c>
      <c r="G99" s="26" t="s">
        <v>160</v>
      </c>
      <c r="H99" s="26" t="s">
        <v>567</v>
      </c>
      <c r="I99" s="26" t="s">
        <v>573</v>
      </c>
      <c r="J99" s="30">
        <v>45418</v>
      </c>
      <c r="K99" s="26" t="s">
        <v>546</v>
      </c>
      <c r="L99" s="26" t="s">
        <v>592</v>
      </c>
      <c r="M99" s="30">
        <v>45418</v>
      </c>
      <c r="N99" s="26" t="s">
        <v>592</v>
      </c>
      <c r="O99" s="26" t="s">
        <v>582</v>
      </c>
      <c r="P99" s="31">
        <v>15</v>
      </c>
      <c r="Q99" s="31">
        <v>10</v>
      </c>
      <c r="R99" s="26" t="s">
        <v>547</v>
      </c>
      <c r="S99" s="26"/>
      <c r="T99" s="31" t="s">
        <v>549</v>
      </c>
      <c r="U99" s="26"/>
      <c r="V99" s="26">
        <f t="shared" si="6"/>
        <v>1</v>
      </c>
      <c r="W99" s="26">
        <f t="shared" si="10"/>
        <v>1</v>
      </c>
      <c r="X99" s="26">
        <f>Data_Base[[#This Row],[B.N Total]]-Data_Base[[#This Row],[Nbre Brachements exécuté]]</f>
        <v>0</v>
      </c>
      <c r="Y99" s="26" t="str">
        <f t="shared" si="7"/>
        <v>lundi</v>
      </c>
      <c r="Z99" s="26" t="str">
        <f t="shared" si="8"/>
        <v>15</v>
      </c>
      <c r="AA99" s="26" t="str">
        <f t="shared" si="11"/>
        <v>04</v>
      </c>
      <c r="AB99" s="26" t="str">
        <f t="shared" si="9"/>
        <v>2024</v>
      </c>
    </row>
    <row r="100" spans="1:28" x14ac:dyDescent="0.25">
      <c r="A100" s="30">
        <v>45397</v>
      </c>
      <c r="B100" s="26" t="s">
        <v>452</v>
      </c>
      <c r="C100" s="26" t="s">
        <v>2</v>
      </c>
      <c r="D100" s="26" t="s">
        <v>453</v>
      </c>
      <c r="E100" s="26"/>
      <c r="G100" s="26"/>
      <c r="H100" s="26"/>
      <c r="I100" s="26"/>
      <c r="J100" s="30"/>
      <c r="K100" s="26"/>
      <c r="M100" s="30"/>
      <c r="O100" s="26"/>
      <c r="P100" s="31"/>
      <c r="Q100" s="31"/>
      <c r="R100" s="26"/>
      <c r="S100" s="26"/>
      <c r="T100" s="31"/>
      <c r="U100" s="26"/>
      <c r="V100" s="26">
        <f t="shared" si="6"/>
        <v>1</v>
      </c>
      <c r="W100" s="26">
        <f t="shared" si="10"/>
        <v>0</v>
      </c>
      <c r="X100" s="26">
        <f>Data_Base[[#This Row],[B.N Total]]-Data_Base[[#This Row],[Nbre Brachements exécuté]]</f>
        <v>1</v>
      </c>
      <c r="Y100" s="26" t="str">
        <f t="shared" si="7"/>
        <v>lundi</v>
      </c>
      <c r="Z100" s="26" t="str">
        <f t="shared" si="8"/>
        <v>15</v>
      </c>
      <c r="AA100" s="26" t="str">
        <f t="shared" si="11"/>
        <v>04</v>
      </c>
      <c r="AB100" s="26" t="str">
        <f t="shared" si="9"/>
        <v>2024</v>
      </c>
    </row>
    <row r="101" spans="1:28" x14ac:dyDescent="0.25">
      <c r="A101" s="30">
        <v>45397</v>
      </c>
      <c r="B101" s="26" t="s">
        <v>454</v>
      </c>
      <c r="C101" s="26" t="s">
        <v>2</v>
      </c>
      <c r="D101" s="26" t="s">
        <v>455</v>
      </c>
      <c r="E101" s="26"/>
      <c r="G101" s="26"/>
      <c r="H101" s="26"/>
      <c r="I101" s="26"/>
      <c r="J101" s="30"/>
      <c r="K101" s="26"/>
      <c r="M101" s="30"/>
      <c r="O101" s="26"/>
      <c r="P101" s="31"/>
      <c r="Q101" s="31"/>
      <c r="R101" s="26"/>
      <c r="S101" s="26"/>
      <c r="T101" s="31"/>
      <c r="U101" s="26"/>
      <c r="V101" s="26">
        <f t="shared" si="6"/>
        <v>1</v>
      </c>
      <c r="W101" s="26">
        <f t="shared" si="10"/>
        <v>0</v>
      </c>
      <c r="X101" s="26">
        <f>Data_Base[[#This Row],[B.N Total]]-Data_Base[[#This Row],[Nbre Brachements exécuté]]</f>
        <v>1</v>
      </c>
      <c r="Y101" s="26" t="str">
        <f t="shared" si="7"/>
        <v>lundi</v>
      </c>
      <c r="Z101" s="26" t="str">
        <f t="shared" si="8"/>
        <v>15</v>
      </c>
      <c r="AA101" s="26" t="str">
        <f t="shared" si="11"/>
        <v>04</v>
      </c>
      <c r="AB101" s="26" t="str">
        <f t="shared" si="9"/>
        <v>2024</v>
      </c>
    </row>
    <row r="102" spans="1:28" x14ac:dyDescent="0.25">
      <c r="A102" s="30">
        <v>45397</v>
      </c>
      <c r="B102" s="26" t="s">
        <v>134</v>
      </c>
      <c r="C102" s="26" t="s">
        <v>2</v>
      </c>
      <c r="D102" s="26" t="s">
        <v>456</v>
      </c>
      <c r="E102" s="26" t="s">
        <v>142</v>
      </c>
      <c r="F102" s="28" t="s">
        <v>593</v>
      </c>
      <c r="G102" s="26" t="s">
        <v>160</v>
      </c>
      <c r="H102" s="26" t="s">
        <v>161</v>
      </c>
      <c r="I102" s="26" t="s">
        <v>586</v>
      </c>
      <c r="J102" s="30">
        <v>45418</v>
      </c>
      <c r="K102" s="26" t="s">
        <v>546</v>
      </c>
      <c r="L102" s="26" t="s">
        <v>594</v>
      </c>
      <c r="M102" s="30">
        <v>45418</v>
      </c>
      <c r="N102" s="26" t="s">
        <v>594</v>
      </c>
      <c r="O102" s="26"/>
      <c r="P102" s="31">
        <v>15</v>
      </c>
      <c r="Q102" s="31">
        <v>10</v>
      </c>
      <c r="R102" s="26" t="s">
        <v>547</v>
      </c>
      <c r="S102" s="26"/>
      <c r="T102" s="31" t="s">
        <v>549</v>
      </c>
      <c r="U102" s="26"/>
      <c r="V102" s="26">
        <f t="shared" si="6"/>
        <v>1</v>
      </c>
      <c r="W102" s="26">
        <f t="shared" si="10"/>
        <v>1</v>
      </c>
      <c r="X102" s="26">
        <f>Data_Base[[#This Row],[B.N Total]]-Data_Base[[#This Row],[Nbre Brachements exécuté]]</f>
        <v>0</v>
      </c>
      <c r="Y102" s="26" t="str">
        <f t="shared" si="7"/>
        <v>lundi</v>
      </c>
      <c r="Z102" s="26" t="str">
        <f t="shared" si="8"/>
        <v>15</v>
      </c>
      <c r="AA102" s="26" t="str">
        <f t="shared" si="11"/>
        <v>04</v>
      </c>
      <c r="AB102" s="26" t="str">
        <f t="shared" si="9"/>
        <v>2024</v>
      </c>
    </row>
    <row r="103" spans="1:28" x14ac:dyDescent="0.25">
      <c r="A103" s="30">
        <v>45397</v>
      </c>
      <c r="B103" s="26" t="s">
        <v>134</v>
      </c>
      <c r="C103" s="26" t="s">
        <v>2</v>
      </c>
      <c r="D103" s="26" t="s">
        <v>457</v>
      </c>
      <c r="E103" s="26" t="s">
        <v>142</v>
      </c>
      <c r="F103" s="28" t="s">
        <v>593</v>
      </c>
      <c r="G103" s="26" t="s">
        <v>160</v>
      </c>
      <c r="H103" s="26" t="s">
        <v>161</v>
      </c>
      <c r="I103" s="26" t="s">
        <v>586</v>
      </c>
      <c r="J103" s="30">
        <v>45418</v>
      </c>
      <c r="K103" s="26" t="s">
        <v>546</v>
      </c>
      <c r="L103" s="26" t="s">
        <v>595</v>
      </c>
      <c r="M103" s="30">
        <v>45418</v>
      </c>
      <c r="N103" s="26" t="s">
        <v>595</v>
      </c>
      <c r="O103" s="26"/>
      <c r="P103" s="31">
        <v>15</v>
      </c>
      <c r="Q103" s="31">
        <v>10</v>
      </c>
      <c r="R103" s="26" t="s">
        <v>547</v>
      </c>
      <c r="S103" s="26"/>
      <c r="T103" s="31" t="s">
        <v>549</v>
      </c>
      <c r="U103" s="26"/>
      <c r="V103" s="26">
        <f t="shared" si="6"/>
        <v>1</v>
      </c>
      <c r="W103" s="26">
        <f t="shared" si="10"/>
        <v>1</v>
      </c>
      <c r="X103" s="26">
        <f>Data_Base[[#This Row],[B.N Total]]-Data_Base[[#This Row],[Nbre Brachements exécuté]]</f>
        <v>0</v>
      </c>
      <c r="Y103" s="26" t="str">
        <f t="shared" si="7"/>
        <v>lundi</v>
      </c>
      <c r="Z103" s="26" t="str">
        <f t="shared" si="8"/>
        <v>15</v>
      </c>
      <c r="AA103" s="26" t="str">
        <f t="shared" si="11"/>
        <v>04</v>
      </c>
      <c r="AB103" s="26" t="str">
        <f t="shared" si="9"/>
        <v>2024</v>
      </c>
    </row>
    <row r="104" spans="1:28" x14ac:dyDescent="0.25">
      <c r="A104" s="30">
        <v>45397</v>
      </c>
      <c r="B104" s="26" t="s">
        <v>458</v>
      </c>
      <c r="C104" s="26" t="s">
        <v>2</v>
      </c>
      <c r="D104" s="26" t="s">
        <v>459</v>
      </c>
      <c r="E104" s="26"/>
      <c r="G104" s="26"/>
      <c r="H104" s="26"/>
      <c r="I104" s="26"/>
      <c r="J104" s="30"/>
      <c r="K104" s="26"/>
      <c r="M104" s="30"/>
      <c r="O104" s="26"/>
      <c r="P104" s="31"/>
      <c r="Q104" s="31"/>
      <c r="R104" s="26"/>
      <c r="S104" s="26"/>
      <c r="T104" s="31"/>
      <c r="U104" s="26"/>
      <c r="V104" s="26">
        <f t="shared" si="6"/>
        <v>1</v>
      </c>
      <c r="W104" s="26">
        <f t="shared" si="10"/>
        <v>0</v>
      </c>
      <c r="X104" s="26">
        <f>Data_Base[[#This Row],[B.N Total]]-Data_Base[[#This Row],[Nbre Brachements exécuté]]</f>
        <v>1</v>
      </c>
      <c r="Y104" s="26" t="str">
        <f t="shared" si="7"/>
        <v>lundi</v>
      </c>
      <c r="Z104" s="26" t="str">
        <f t="shared" si="8"/>
        <v>15</v>
      </c>
      <c r="AA104" s="26" t="str">
        <f t="shared" si="11"/>
        <v>04</v>
      </c>
      <c r="AB104" s="26" t="str">
        <f t="shared" si="9"/>
        <v>2024</v>
      </c>
    </row>
    <row r="105" spans="1:28" x14ac:dyDescent="0.25">
      <c r="A105" s="30">
        <v>45399</v>
      </c>
      <c r="B105" s="26" t="s">
        <v>460</v>
      </c>
      <c r="C105" s="26" t="s">
        <v>3</v>
      </c>
      <c r="D105" s="26" t="s">
        <v>461</v>
      </c>
      <c r="E105" s="26" t="s">
        <v>142</v>
      </c>
      <c r="F105" s="28" t="s">
        <v>596</v>
      </c>
      <c r="G105" s="26" t="s">
        <v>160</v>
      </c>
      <c r="H105" s="26" t="s">
        <v>344</v>
      </c>
      <c r="I105" s="26" t="s">
        <v>160</v>
      </c>
      <c r="J105" s="30">
        <v>45405</v>
      </c>
      <c r="K105" s="26" t="s">
        <v>546</v>
      </c>
      <c r="L105" s="26" t="s">
        <v>597</v>
      </c>
      <c r="M105" s="30">
        <v>45405</v>
      </c>
      <c r="N105" s="26" t="s">
        <v>597</v>
      </c>
      <c r="O105" s="26" t="s">
        <v>141</v>
      </c>
      <c r="P105" s="31">
        <v>10</v>
      </c>
      <c r="Q105" s="31"/>
      <c r="R105" s="26" t="s">
        <v>547</v>
      </c>
      <c r="S105" s="26" t="s">
        <v>548</v>
      </c>
      <c r="T105" s="31" t="s">
        <v>549</v>
      </c>
      <c r="U105" s="26" t="s">
        <v>550</v>
      </c>
      <c r="V105" s="26">
        <f t="shared" si="6"/>
        <v>1</v>
      </c>
      <c r="W105" s="26">
        <f t="shared" si="10"/>
        <v>1</v>
      </c>
      <c r="X105" s="26">
        <f>Data_Base[[#This Row],[B.N Total]]-Data_Base[[#This Row],[Nbre Brachements exécuté]]</f>
        <v>0</v>
      </c>
      <c r="Y105" s="26" t="str">
        <f t="shared" si="7"/>
        <v>mercredi</v>
      </c>
      <c r="Z105" s="26" t="str">
        <f t="shared" si="8"/>
        <v>17</v>
      </c>
      <c r="AA105" s="26" t="str">
        <f t="shared" si="11"/>
        <v>04</v>
      </c>
      <c r="AB105" s="26" t="str">
        <f t="shared" si="9"/>
        <v>2024</v>
      </c>
    </row>
    <row r="106" spans="1:28" x14ac:dyDescent="0.25">
      <c r="A106" s="30">
        <v>45399</v>
      </c>
      <c r="B106" s="26" t="s">
        <v>462</v>
      </c>
      <c r="C106" s="26" t="s">
        <v>3</v>
      </c>
      <c r="D106" s="26" t="s">
        <v>463</v>
      </c>
      <c r="E106" s="26" t="s">
        <v>598</v>
      </c>
      <c r="F106" s="28" t="s">
        <v>143</v>
      </c>
      <c r="G106" s="26" t="s">
        <v>160</v>
      </c>
      <c r="H106" s="26" t="s">
        <v>161</v>
      </c>
      <c r="I106" s="26" t="s">
        <v>160</v>
      </c>
      <c r="J106" s="30">
        <v>45412</v>
      </c>
      <c r="K106" s="26" t="s">
        <v>546</v>
      </c>
      <c r="L106" s="26" t="s">
        <v>598</v>
      </c>
      <c r="M106" s="30">
        <v>45412</v>
      </c>
      <c r="N106" s="26" t="s">
        <v>598</v>
      </c>
      <c r="O106" s="26" t="s">
        <v>599</v>
      </c>
      <c r="P106" s="31">
        <v>30</v>
      </c>
      <c r="Q106" s="31"/>
      <c r="R106" s="26" t="s">
        <v>547</v>
      </c>
      <c r="S106" s="26"/>
      <c r="T106" s="31"/>
      <c r="U106" s="26"/>
      <c r="V106" s="26">
        <f t="shared" si="6"/>
        <v>1</v>
      </c>
      <c r="W106" s="26">
        <f t="shared" si="10"/>
        <v>1</v>
      </c>
      <c r="X106" s="26">
        <f>Data_Base[[#This Row],[B.N Total]]-Data_Base[[#This Row],[Nbre Brachements exécuté]]</f>
        <v>0</v>
      </c>
      <c r="Y106" s="26" t="str">
        <f t="shared" si="7"/>
        <v>mercredi</v>
      </c>
      <c r="Z106" s="26" t="str">
        <f t="shared" si="8"/>
        <v>17</v>
      </c>
      <c r="AA106" s="26" t="str">
        <f t="shared" si="11"/>
        <v>04</v>
      </c>
      <c r="AB106" s="26" t="str">
        <f t="shared" si="9"/>
        <v>2024</v>
      </c>
    </row>
    <row r="107" spans="1:28" x14ac:dyDescent="0.25">
      <c r="A107" s="30">
        <v>45399</v>
      </c>
      <c r="B107" s="26" t="s">
        <v>464</v>
      </c>
      <c r="C107" s="26" t="s">
        <v>3</v>
      </c>
      <c r="D107" s="26" t="s">
        <v>465</v>
      </c>
      <c r="E107" s="26"/>
      <c r="G107" s="26"/>
      <c r="H107" s="26"/>
      <c r="I107" s="26"/>
      <c r="J107" s="30"/>
      <c r="K107" s="26"/>
      <c r="M107" s="30"/>
      <c r="O107" s="26"/>
      <c r="P107" s="31"/>
      <c r="Q107" s="31"/>
      <c r="R107" s="26"/>
      <c r="S107" s="26"/>
      <c r="T107" s="31"/>
      <c r="U107" s="26"/>
      <c r="V107" s="26">
        <f t="shared" si="6"/>
        <v>1</v>
      </c>
      <c r="W107" s="26">
        <f t="shared" si="10"/>
        <v>0</v>
      </c>
      <c r="X107" s="26">
        <f>Data_Base[[#This Row],[B.N Total]]-Data_Base[[#This Row],[Nbre Brachements exécuté]]</f>
        <v>1</v>
      </c>
      <c r="Y107" s="26" t="str">
        <f t="shared" si="7"/>
        <v>mercredi</v>
      </c>
      <c r="Z107" s="26" t="str">
        <f t="shared" si="8"/>
        <v>17</v>
      </c>
      <c r="AA107" s="26" t="str">
        <f t="shared" si="11"/>
        <v>04</v>
      </c>
      <c r="AB107" s="26" t="str">
        <f t="shared" si="9"/>
        <v>2024</v>
      </c>
    </row>
    <row r="108" spans="1:28" x14ac:dyDescent="0.25">
      <c r="A108" s="30">
        <v>45399</v>
      </c>
      <c r="B108" s="26" t="s">
        <v>464</v>
      </c>
      <c r="C108" s="26" t="s">
        <v>3</v>
      </c>
      <c r="D108" s="26" t="s">
        <v>466</v>
      </c>
      <c r="E108" s="26"/>
      <c r="G108" s="26"/>
      <c r="H108" s="26"/>
      <c r="I108" s="26"/>
      <c r="J108" s="30"/>
      <c r="K108" s="26"/>
      <c r="M108" s="30"/>
      <c r="O108" s="26"/>
      <c r="P108" s="31"/>
      <c r="Q108" s="31"/>
      <c r="R108" s="26"/>
      <c r="S108" s="26"/>
      <c r="T108" s="31"/>
      <c r="U108" s="26"/>
      <c r="V108" s="26">
        <f t="shared" si="6"/>
        <v>1</v>
      </c>
      <c r="W108" s="26">
        <f t="shared" si="10"/>
        <v>0</v>
      </c>
      <c r="X108" s="26">
        <f>Data_Base[[#This Row],[B.N Total]]-Data_Base[[#This Row],[Nbre Brachements exécuté]]</f>
        <v>1</v>
      </c>
      <c r="Y108" s="26" t="str">
        <f t="shared" si="7"/>
        <v>mercredi</v>
      </c>
      <c r="Z108" s="26" t="str">
        <f t="shared" si="8"/>
        <v>17</v>
      </c>
      <c r="AA108" s="26" t="str">
        <f t="shared" si="11"/>
        <v>04</v>
      </c>
      <c r="AB108" s="26" t="str">
        <f t="shared" si="9"/>
        <v>2024</v>
      </c>
    </row>
    <row r="109" spans="1:28" x14ac:dyDescent="0.25">
      <c r="A109" s="30">
        <v>45399</v>
      </c>
      <c r="B109" s="26" t="s">
        <v>464</v>
      </c>
      <c r="C109" s="26" t="s">
        <v>3</v>
      </c>
      <c r="D109" s="26" t="s">
        <v>467</v>
      </c>
      <c r="E109" s="26"/>
      <c r="G109" s="26"/>
      <c r="H109" s="26"/>
      <c r="I109" s="26"/>
      <c r="J109" s="30"/>
      <c r="K109" s="26"/>
      <c r="M109" s="30"/>
      <c r="O109" s="26"/>
      <c r="P109" s="31"/>
      <c r="Q109" s="31"/>
      <c r="R109" s="26"/>
      <c r="S109" s="26"/>
      <c r="T109" s="31"/>
      <c r="U109" s="26"/>
      <c r="V109" s="26">
        <f t="shared" si="6"/>
        <v>1</v>
      </c>
      <c r="W109" s="26">
        <f t="shared" si="10"/>
        <v>0</v>
      </c>
      <c r="X109" s="26">
        <f>Data_Base[[#This Row],[B.N Total]]-Data_Base[[#This Row],[Nbre Brachements exécuté]]</f>
        <v>1</v>
      </c>
      <c r="Y109" s="26" t="str">
        <f t="shared" si="7"/>
        <v>mercredi</v>
      </c>
      <c r="Z109" s="26" t="str">
        <f t="shared" si="8"/>
        <v>17</v>
      </c>
      <c r="AA109" s="26" t="str">
        <f t="shared" si="11"/>
        <v>04</v>
      </c>
      <c r="AB109" s="26" t="str">
        <f t="shared" si="9"/>
        <v>2024</v>
      </c>
    </row>
    <row r="110" spans="1:28" x14ac:dyDescent="0.25">
      <c r="A110" s="30">
        <v>45399</v>
      </c>
      <c r="B110" s="26" t="s">
        <v>464</v>
      </c>
      <c r="C110" s="26" t="s">
        <v>3</v>
      </c>
      <c r="D110" s="26" t="s">
        <v>468</v>
      </c>
      <c r="E110" s="26"/>
      <c r="G110" s="26"/>
      <c r="H110" s="26"/>
      <c r="I110" s="26"/>
      <c r="J110" s="30"/>
      <c r="K110" s="26"/>
      <c r="M110" s="30"/>
      <c r="O110" s="26"/>
      <c r="P110" s="31"/>
      <c r="Q110" s="31"/>
      <c r="R110" s="26"/>
      <c r="S110" s="26"/>
      <c r="T110" s="31"/>
      <c r="U110" s="26"/>
      <c r="V110" s="26">
        <f t="shared" si="6"/>
        <v>1</v>
      </c>
      <c r="W110" s="26">
        <f t="shared" si="10"/>
        <v>0</v>
      </c>
      <c r="X110" s="26">
        <f>Data_Base[[#This Row],[B.N Total]]-Data_Base[[#This Row],[Nbre Brachements exécuté]]</f>
        <v>1</v>
      </c>
      <c r="Y110" s="26" t="str">
        <f t="shared" si="7"/>
        <v>mercredi</v>
      </c>
      <c r="Z110" s="26" t="str">
        <f t="shared" si="8"/>
        <v>17</v>
      </c>
      <c r="AA110" s="26" t="str">
        <f t="shared" si="11"/>
        <v>04</v>
      </c>
      <c r="AB110" s="26" t="str">
        <f t="shared" si="9"/>
        <v>2024</v>
      </c>
    </row>
    <row r="111" spans="1:28" x14ac:dyDescent="0.25">
      <c r="A111" s="30">
        <v>45399</v>
      </c>
      <c r="B111" s="26" t="s">
        <v>464</v>
      </c>
      <c r="C111" s="26" t="s">
        <v>3</v>
      </c>
      <c r="D111" s="26" t="s">
        <v>469</v>
      </c>
      <c r="E111" s="26"/>
      <c r="G111" s="26"/>
      <c r="H111" s="26"/>
      <c r="I111" s="26"/>
      <c r="J111" s="30"/>
      <c r="K111" s="26"/>
      <c r="M111" s="30"/>
      <c r="O111" s="26"/>
      <c r="P111" s="31"/>
      <c r="Q111" s="31"/>
      <c r="R111" s="26"/>
      <c r="S111" s="26"/>
      <c r="T111" s="31"/>
      <c r="U111" s="26"/>
      <c r="V111" s="26">
        <f t="shared" si="6"/>
        <v>1</v>
      </c>
      <c r="W111" s="26">
        <f t="shared" si="10"/>
        <v>0</v>
      </c>
      <c r="X111" s="26">
        <f>Data_Base[[#This Row],[B.N Total]]-Data_Base[[#This Row],[Nbre Brachements exécuté]]</f>
        <v>1</v>
      </c>
      <c r="Y111" s="26" t="str">
        <f t="shared" si="7"/>
        <v>mercredi</v>
      </c>
      <c r="Z111" s="26" t="str">
        <f t="shared" si="8"/>
        <v>17</v>
      </c>
      <c r="AA111" s="26" t="str">
        <f t="shared" si="11"/>
        <v>04</v>
      </c>
      <c r="AB111" s="26" t="str">
        <f t="shared" si="9"/>
        <v>2024</v>
      </c>
    </row>
    <row r="112" spans="1:28" x14ac:dyDescent="0.25">
      <c r="A112" s="30">
        <v>45399</v>
      </c>
      <c r="B112" s="26" t="s">
        <v>464</v>
      </c>
      <c r="C112" s="26" t="s">
        <v>3</v>
      </c>
      <c r="D112" s="26" t="s">
        <v>470</v>
      </c>
      <c r="E112" s="26"/>
      <c r="G112" s="26"/>
      <c r="H112" s="26"/>
      <c r="I112" s="26"/>
      <c r="J112" s="30"/>
      <c r="K112" s="26"/>
      <c r="M112" s="30"/>
      <c r="O112" s="26"/>
      <c r="P112" s="31"/>
      <c r="Q112" s="31"/>
      <c r="R112" s="26"/>
      <c r="S112" s="26"/>
      <c r="T112" s="31"/>
      <c r="U112" s="26"/>
      <c r="V112" s="26">
        <f t="shared" si="6"/>
        <v>1</v>
      </c>
      <c r="W112" s="26">
        <f t="shared" si="10"/>
        <v>0</v>
      </c>
      <c r="X112" s="26">
        <f>Data_Base[[#This Row],[B.N Total]]-Data_Base[[#This Row],[Nbre Brachements exécuté]]</f>
        <v>1</v>
      </c>
      <c r="Y112" s="26" t="str">
        <f t="shared" si="7"/>
        <v>mercredi</v>
      </c>
      <c r="Z112" s="26" t="str">
        <f t="shared" si="8"/>
        <v>17</v>
      </c>
      <c r="AA112" s="26" t="str">
        <f t="shared" si="11"/>
        <v>04</v>
      </c>
      <c r="AB112" s="26" t="str">
        <f t="shared" si="9"/>
        <v>2024</v>
      </c>
    </row>
    <row r="113" spans="1:28" x14ac:dyDescent="0.25">
      <c r="A113" s="30">
        <v>45399</v>
      </c>
      <c r="B113" s="26" t="s">
        <v>464</v>
      </c>
      <c r="C113" s="26" t="s">
        <v>3</v>
      </c>
      <c r="D113" s="26" t="s">
        <v>471</v>
      </c>
      <c r="E113" s="26"/>
      <c r="G113" s="26"/>
      <c r="H113" s="26"/>
      <c r="I113" s="26"/>
      <c r="J113" s="30"/>
      <c r="K113" s="26"/>
      <c r="M113" s="30"/>
      <c r="O113" s="26"/>
      <c r="P113" s="31"/>
      <c r="Q113" s="31"/>
      <c r="R113" s="26"/>
      <c r="S113" s="26"/>
      <c r="T113" s="31"/>
      <c r="U113" s="26"/>
      <c r="V113" s="26">
        <f t="shared" si="6"/>
        <v>1</v>
      </c>
      <c r="W113" s="26">
        <f t="shared" si="10"/>
        <v>0</v>
      </c>
      <c r="X113" s="26">
        <f>Data_Base[[#This Row],[B.N Total]]-Data_Base[[#This Row],[Nbre Brachements exécuté]]</f>
        <v>1</v>
      </c>
      <c r="Y113" s="26" t="str">
        <f t="shared" si="7"/>
        <v>mercredi</v>
      </c>
      <c r="Z113" s="26" t="str">
        <f t="shared" si="8"/>
        <v>17</v>
      </c>
      <c r="AA113" s="26" t="str">
        <f t="shared" si="11"/>
        <v>04</v>
      </c>
      <c r="AB113" s="26" t="str">
        <f t="shared" si="9"/>
        <v>2024</v>
      </c>
    </row>
    <row r="114" spans="1:28" x14ac:dyDescent="0.25">
      <c r="A114" s="30">
        <v>45399</v>
      </c>
      <c r="B114" s="26" t="s">
        <v>464</v>
      </c>
      <c r="C114" s="26" t="s">
        <v>3</v>
      </c>
      <c r="D114" s="26" t="s">
        <v>472</v>
      </c>
      <c r="E114" s="26"/>
      <c r="G114" s="26"/>
      <c r="H114" s="26"/>
      <c r="I114" s="26"/>
      <c r="J114" s="30"/>
      <c r="K114" s="26"/>
      <c r="M114" s="30"/>
      <c r="O114" s="26"/>
      <c r="P114" s="31"/>
      <c r="Q114" s="31"/>
      <c r="R114" s="26"/>
      <c r="S114" s="26"/>
      <c r="T114" s="31"/>
      <c r="U114" s="26"/>
      <c r="V114" s="26">
        <f t="shared" si="6"/>
        <v>1</v>
      </c>
      <c r="W114" s="26">
        <f t="shared" si="10"/>
        <v>0</v>
      </c>
      <c r="X114" s="26">
        <f>Data_Base[[#This Row],[B.N Total]]-Data_Base[[#This Row],[Nbre Brachements exécuté]]</f>
        <v>1</v>
      </c>
      <c r="Y114" s="26" t="str">
        <f t="shared" si="7"/>
        <v>mercredi</v>
      </c>
      <c r="Z114" s="26" t="str">
        <f t="shared" si="8"/>
        <v>17</v>
      </c>
      <c r="AA114" s="26" t="str">
        <f t="shared" si="11"/>
        <v>04</v>
      </c>
      <c r="AB114" s="26" t="str">
        <f t="shared" si="9"/>
        <v>2024</v>
      </c>
    </row>
    <row r="115" spans="1:28" x14ac:dyDescent="0.25">
      <c r="A115" s="30">
        <v>45399</v>
      </c>
      <c r="B115" s="26" t="s">
        <v>464</v>
      </c>
      <c r="C115" s="26" t="s">
        <v>3</v>
      </c>
      <c r="D115" s="26" t="s">
        <v>473</v>
      </c>
      <c r="E115" s="26"/>
      <c r="G115" s="26"/>
      <c r="H115" s="26"/>
      <c r="I115" s="26"/>
      <c r="J115" s="30"/>
      <c r="K115" s="26"/>
      <c r="M115" s="30"/>
      <c r="O115" s="26"/>
      <c r="P115" s="31"/>
      <c r="Q115" s="31"/>
      <c r="R115" s="26"/>
      <c r="S115" s="26"/>
      <c r="T115" s="31"/>
      <c r="U115" s="26"/>
      <c r="V115" s="26">
        <f t="shared" si="6"/>
        <v>1</v>
      </c>
      <c r="W115" s="26">
        <f t="shared" si="10"/>
        <v>0</v>
      </c>
      <c r="X115" s="26">
        <f>Data_Base[[#This Row],[B.N Total]]-Data_Base[[#This Row],[Nbre Brachements exécuté]]</f>
        <v>1</v>
      </c>
      <c r="Y115" s="26" t="str">
        <f t="shared" si="7"/>
        <v>mercredi</v>
      </c>
      <c r="Z115" s="26" t="str">
        <f t="shared" si="8"/>
        <v>17</v>
      </c>
      <c r="AA115" s="26" t="str">
        <f t="shared" si="11"/>
        <v>04</v>
      </c>
      <c r="AB115" s="26" t="str">
        <f t="shared" si="9"/>
        <v>2024</v>
      </c>
    </row>
    <row r="116" spans="1:28" x14ac:dyDescent="0.25">
      <c r="A116" s="30">
        <v>45399</v>
      </c>
      <c r="B116" s="26" t="s">
        <v>474</v>
      </c>
      <c r="C116" s="26" t="s">
        <v>3</v>
      </c>
      <c r="D116" s="26" t="s">
        <v>475</v>
      </c>
      <c r="E116" s="26" t="s">
        <v>142</v>
      </c>
      <c r="F116" s="28" t="s">
        <v>1144</v>
      </c>
      <c r="G116" s="26" t="s">
        <v>160</v>
      </c>
      <c r="H116" s="26" t="s">
        <v>567</v>
      </c>
      <c r="I116" s="26" t="s">
        <v>573</v>
      </c>
      <c r="J116" s="30">
        <v>45422</v>
      </c>
      <c r="K116" s="26" t="s">
        <v>546</v>
      </c>
      <c r="L116" s="26" t="s">
        <v>1145</v>
      </c>
      <c r="M116" s="30">
        <v>45425</v>
      </c>
      <c r="N116" s="26" t="s">
        <v>1145</v>
      </c>
      <c r="O116" s="26" t="s">
        <v>582</v>
      </c>
      <c r="P116" s="31">
        <v>15</v>
      </c>
      <c r="Q116" s="31">
        <v>10</v>
      </c>
      <c r="R116" s="26" t="s">
        <v>547</v>
      </c>
      <c r="S116" s="26"/>
      <c r="T116" s="31"/>
      <c r="U116" s="26"/>
      <c r="V116" s="26">
        <f t="shared" si="6"/>
        <v>1</v>
      </c>
      <c r="W116" s="26">
        <f t="shared" si="10"/>
        <v>1</v>
      </c>
      <c r="X116" s="26">
        <f>Data_Base[[#This Row],[B.N Total]]-Data_Base[[#This Row],[Nbre Brachements exécuté]]</f>
        <v>0</v>
      </c>
      <c r="Y116" s="26" t="str">
        <f t="shared" si="7"/>
        <v>mercredi</v>
      </c>
      <c r="Z116" s="26" t="str">
        <f t="shared" si="8"/>
        <v>17</v>
      </c>
      <c r="AA116" s="26" t="str">
        <f t="shared" si="11"/>
        <v>04</v>
      </c>
      <c r="AB116" s="26" t="str">
        <f t="shared" si="9"/>
        <v>2024</v>
      </c>
    </row>
    <row r="117" spans="1:28" x14ac:dyDescent="0.25">
      <c r="A117" s="30">
        <v>45399</v>
      </c>
      <c r="B117" s="26" t="s">
        <v>476</v>
      </c>
      <c r="C117" s="26" t="s">
        <v>2</v>
      </c>
      <c r="D117" s="26" t="s">
        <v>477</v>
      </c>
      <c r="E117" s="26" t="s">
        <v>142</v>
      </c>
      <c r="F117" s="28" t="s">
        <v>600</v>
      </c>
      <c r="G117" s="26" t="s">
        <v>160</v>
      </c>
      <c r="H117" s="26" t="s">
        <v>161</v>
      </c>
      <c r="I117" s="26" t="s">
        <v>586</v>
      </c>
      <c r="J117" s="30">
        <v>45418</v>
      </c>
      <c r="K117" s="26" t="s">
        <v>546</v>
      </c>
      <c r="L117" s="26" t="s">
        <v>601</v>
      </c>
      <c r="M117" s="30">
        <v>45418</v>
      </c>
      <c r="N117" s="26" t="s">
        <v>601</v>
      </c>
      <c r="O117" s="26"/>
      <c r="P117" s="31">
        <v>20</v>
      </c>
      <c r="Q117" s="31">
        <v>10</v>
      </c>
      <c r="R117" s="26" t="s">
        <v>547</v>
      </c>
      <c r="S117" s="26"/>
      <c r="T117" s="31" t="s">
        <v>549</v>
      </c>
      <c r="U117" s="26"/>
      <c r="V117" s="26">
        <f t="shared" si="6"/>
        <v>1</v>
      </c>
      <c r="W117" s="26">
        <f t="shared" si="10"/>
        <v>1</v>
      </c>
      <c r="X117" s="26">
        <f>Data_Base[[#This Row],[B.N Total]]-Data_Base[[#This Row],[Nbre Brachements exécuté]]</f>
        <v>0</v>
      </c>
      <c r="Y117" s="26" t="str">
        <f t="shared" si="7"/>
        <v>mercredi</v>
      </c>
      <c r="Z117" s="26" t="str">
        <f t="shared" si="8"/>
        <v>17</v>
      </c>
      <c r="AA117" s="26" t="str">
        <f t="shared" si="11"/>
        <v>04</v>
      </c>
      <c r="AB117" s="26" t="str">
        <f t="shared" si="9"/>
        <v>2024</v>
      </c>
    </row>
    <row r="118" spans="1:28" x14ac:dyDescent="0.25">
      <c r="A118" s="30">
        <v>45399</v>
      </c>
      <c r="B118" s="26" t="s">
        <v>476</v>
      </c>
      <c r="C118" s="26" t="s">
        <v>2</v>
      </c>
      <c r="D118" s="26" t="s">
        <v>478</v>
      </c>
      <c r="E118" s="26" t="s">
        <v>142</v>
      </c>
      <c r="F118" s="28" t="s">
        <v>600</v>
      </c>
      <c r="G118" s="26" t="s">
        <v>160</v>
      </c>
      <c r="H118" s="26" t="s">
        <v>161</v>
      </c>
      <c r="I118" s="26" t="s">
        <v>586</v>
      </c>
      <c r="J118" s="30">
        <v>45418</v>
      </c>
      <c r="K118" s="26" t="s">
        <v>546</v>
      </c>
      <c r="L118" s="26" t="s">
        <v>602</v>
      </c>
      <c r="M118" s="30">
        <v>45418</v>
      </c>
      <c r="N118" s="26" t="s">
        <v>602</v>
      </c>
      <c r="O118" s="26"/>
      <c r="P118" s="31">
        <v>20</v>
      </c>
      <c r="Q118" s="31">
        <v>10</v>
      </c>
      <c r="R118" s="26" t="s">
        <v>547</v>
      </c>
      <c r="S118" s="26"/>
      <c r="T118" s="31" t="s">
        <v>549</v>
      </c>
      <c r="U118" s="26"/>
      <c r="V118" s="26">
        <f t="shared" si="6"/>
        <v>1</v>
      </c>
      <c r="W118" s="26">
        <f t="shared" si="10"/>
        <v>1</v>
      </c>
      <c r="X118" s="26">
        <f>Data_Base[[#This Row],[B.N Total]]-Data_Base[[#This Row],[Nbre Brachements exécuté]]</f>
        <v>0</v>
      </c>
      <c r="Y118" s="26" t="str">
        <f t="shared" si="7"/>
        <v>mercredi</v>
      </c>
      <c r="Z118" s="26" t="str">
        <f t="shared" si="8"/>
        <v>17</v>
      </c>
      <c r="AA118" s="26" t="str">
        <f t="shared" si="11"/>
        <v>04</v>
      </c>
      <c r="AB118" s="26" t="str">
        <f t="shared" si="9"/>
        <v>2024</v>
      </c>
    </row>
    <row r="119" spans="1:28" x14ac:dyDescent="0.25">
      <c r="A119" s="30">
        <v>45400</v>
      </c>
      <c r="B119" s="26" t="s">
        <v>483</v>
      </c>
      <c r="C119" s="26" t="s">
        <v>2</v>
      </c>
      <c r="D119" s="26" t="s">
        <v>484</v>
      </c>
      <c r="E119" s="26"/>
      <c r="G119" s="26"/>
      <c r="H119" s="26"/>
      <c r="I119" s="26"/>
      <c r="J119" s="30"/>
      <c r="K119" s="26"/>
      <c r="M119" s="30"/>
      <c r="O119" s="26"/>
      <c r="P119" s="31"/>
      <c r="Q119" s="31"/>
      <c r="R119" s="26"/>
      <c r="S119" s="26"/>
      <c r="T119" s="31"/>
      <c r="U119" s="26"/>
      <c r="V119" s="26">
        <f t="shared" si="6"/>
        <v>1</v>
      </c>
      <c r="W119" s="26">
        <f t="shared" si="10"/>
        <v>0</v>
      </c>
      <c r="X119" s="26">
        <f>Data_Base[[#This Row],[B.N Total]]-Data_Base[[#This Row],[Nbre Brachements exécuté]]</f>
        <v>1</v>
      </c>
      <c r="Y119" s="26" t="str">
        <f t="shared" si="7"/>
        <v>jeudi</v>
      </c>
      <c r="Z119" s="26" t="str">
        <f t="shared" si="8"/>
        <v>18</v>
      </c>
      <c r="AA119" s="26" t="str">
        <f t="shared" si="11"/>
        <v>04</v>
      </c>
      <c r="AB119" s="26" t="str">
        <f t="shared" si="9"/>
        <v>2024</v>
      </c>
    </row>
    <row r="120" spans="1:28" x14ac:dyDescent="0.25">
      <c r="A120" s="30">
        <v>45400</v>
      </c>
      <c r="B120" s="26" t="s">
        <v>485</v>
      </c>
      <c r="C120" s="26" t="s">
        <v>2</v>
      </c>
      <c r="D120" s="26" t="s">
        <v>486</v>
      </c>
      <c r="E120" s="26"/>
      <c r="G120" s="26"/>
      <c r="H120" s="26"/>
      <c r="I120" s="26"/>
      <c r="J120" s="30"/>
      <c r="K120" s="26"/>
      <c r="M120" s="30"/>
      <c r="O120" s="26"/>
      <c r="P120" s="31"/>
      <c r="Q120" s="31"/>
      <c r="R120" s="26"/>
      <c r="S120" s="26"/>
      <c r="T120" s="31"/>
      <c r="U120" s="26"/>
      <c r="V120" s="26">
        <f t="shared" si="6"/>
        <v>1</v>
      </c>
      <c r="W120" s="26">
        <f t="shared" si="10"/>
        <v>0</v>
      </c>
      <c r="X120" s="26">
        <f>Data_Base[[#This Row],[B.N Total]]-Data_Base[[#This Row],[Nbre Brachements exécuté]]</f>
        <v>1</v>
      </c>
      <c r="Y120" s="26" t="str">
        <f t="shared" si="7"/>
        <v>jeudi</v>
      </c>
      <c r="Z120" s="26" t="str">
        <f t="shared" si="8"/>
        <v>18</v>
      </c>
      <c r="AA120" s="26" t="str">
        <f t="shared" si="11"/>
        <v>04</v>
      </c>
      <c r="AB120" s="26" t="str">
        <f t="shared" si="9"/>
        <v>2024</v>
      </c>
    </row>
    <row r="121" spans="1:28" x14ac:dyDescent="0.25">
      <c r="A121" s="30">
        <v>45400</v>
      </c>
      <c r="B121" s="26" t="s">
        <v>487</v>
      </c>
      <c r="C121" s="26" t="s">
        <v>2</v>
      </c>
      <c r="D121" s="26" t="s">
        <v>488</v>
      </c>
      <c r="E121" s="26"/>
      <c r="G121" s="26"/>
      <c r="H121" s="26"/>
      <c r="I121" s="26"/>
      <c r="J121" s="30"/>
      <c r="K121" s="26"/>
      <c r="M121" s="30"/>
      <c r="O121" s="26"/>
      <c r="P121" s="31"/>
      <c r="Q121" s="31"/>
      <c r="R121" s="26"/>
      <c r="S121" s="26"/>
      <c r="T121" s="31"/>
      <c r="U121" s="26"/>
      <c r="V121" s="26">
        <f t="shared" si="6"/>
        <v>1</v>
      </c>
      <c r="W121" s="26">
        <f t="shared" si="10"/>
        <v>0</v>
      </c>
      <c r="X121" s="26">
        <f>Data_Base[[#This Row],[B.N Total]]-Data_Base[[#This Row],[Nbre Brachements exécuté]]</f>
        <v>1</v>
      </c>
      <c r="Y121" s="26" t="str">
        <f t="shared" si="7"/>
        <v>jeudi</v>
      </c>
      <c r="Z121" s="26" t="str">
        <f t="shared" si="8"/>
        <v>18</v>
      </c>
      <c r="AA121" s="26" t="str">
        <f t="shared" si="11"/>
        <v>04</v>
      </c>
      <c r="AB121" s="26" t="str">
        <f t="shared" si="9"/>
        <v>2024</v>
      </c>
    </row>
    <row r="122" spans="1:28" x14ac:dyDescent="0.25">
      <c r="A122" s="30">
        <v>45400</v>
      </c>
      <c r="B122" s="26" t="s">
        <v>489</v>
      </c>
      <c r="C122" s="26" t="s">
        <v>2</v>
      </c>
      <c r="D122" s="26" t="s">
        <v>490</v>
      </c>
      <c r="E122" s="26" t="s">
        <v>142</v>
      </c>
      <c r="F122" s="28" t="s">
        <v>603</v>
      </c>
      <c r="G122" s="26" t="s">
        <v>160</v>
      </c>
      <c r="H122" s="26" t="s">
        <v>344</v>
      </c>
      <c r="I122" s="26" t="s">
        <v>556</v>
      </c>
      <c r="J122" s="30">
        <v>45420</v>
      </c>
      <c r="K122" s="26" t="s">
        <v>546</v>
      </c>
      <c r="L122" s="26" t="s">
        <v>604</v>
      </c>
      <c r="M122" s="30">
        <v>45420</v>
      </c>
      <c r="N122" s="26" t="s">
        <v>604</v>
      </c>
      <c r="O122" s="26" t="s">
        <v>582</v>
      </c>
      <c r="P122" s="31">
        <v>15</v>
      </c>
      <c r="Q122" s="31">
        <v>10</v>
      </c>
      <c r="R122" s="26" t="s">
        <v>547</v>
      </c>
      <c r="S122" s="26"/>
      <c r="T122" s="31"/>
      <c r="U122" s="26"/>
      <c r="V122" s="26">
        <f t="shared" si="6"/>
        <v>1</v>
      </c>
      <c r="W122" s="26">
        <f t="shared" si="10"/>
        <v>1</v>
      </c>
      <c r="X122" s="26">
        <f>Data_Base[[#This Row],[B.N Total]]-Data_Base[[#This Row],[Nbre Brachements exécuté]]</f>
        <v>0</v>
      </c>
      <c r="Y122" s="26" t="str">
        <f t="shared" si="7"/>
        <v>jeudi</v>
      </c>
      <c r="Z122" s="26" t="str">
        <f t="shared" si="8"/>
        <v>18</v>
      </c>
      <c r="AA122" s="26" t="str">
        <f t="shared" si="11"/>
        <v>04</v>
      </c>
      <c r="AB122" s="26" t="str">
        <f t="shared" si="9"/>
        <v>2024</v>
      </c>
    </row>
    <row r="123" spans="1:28" x14ac:dyDescent="0.25">
      <c r="A123" s="30">
        <v>45400</v>
      </c>
      <c r="B123" s="26" t="s">
        <v>491</v>
      </c>
      <c r="C123" s="26" t="s">
        <v>2</v>
      </c>
      <c r="D123" s="26" t="s">
        <v>492</v>
      </c>
      <c r="E123" s="26" t="s">
        <v>142</v>
      </c>
      <c r="F123" s="28" t="s">
        <v>605</v>
      </c>
      <c r="G123" s="26" t="s">
        <v>160</v>
      </c>
      <c r="H123" s="26" t="s">
        <v>325</v>
      </c>
      <c r="I123" s="26" t="s">
        <v>579</v>
      </c>
      <c r="J123" s="30">
        <v>45419</v>
      </c>
      <c r="K123" s="26" t="s">
        <v>546</v>
      </c>
      <c r="L123" s="26" t="s">
        <v>606</v>
      </c>
      <c r="M123" s="30">
        <v>45419</v>
      </c>
      <c r="N123" s="26" t="s">
        <v>606</v>
      </c>
      <c r="O123" s="26" t="s">
        <v>582</v>
      </c>
      <c r="P123" s="31">
        <v>30</v>
      </c>
      <c r="Q123" s="31">
        <v>10</v>
      </c>
      <c r="R123" s="26" t="s">
        <v>547</v>
      </c>
      <c r="S123" s="26"/>
      <c r="T123" s="31"/>
      <c r="U123" s="26"/>
      <c r="V123" s="26">
        <f t="shared" si="6"/>
        <v>1</v>
      </c>
      <c r="W123" s="26">
        <f t="shared" si="10"/>
        <v>1</v>
      </c>
      <c r="X123" s="26">
        <f>Data_Base[[#This Row],[B.N Total]]-Data_Base[[#This Row],[Nbre Brachements exécuté]]</f>
        <v>0</v>
      </c>
      <c r="Y123" s="26" t="str">
        <f t="shared" si="7"/>
        <v>jeudi</v>
      </c>
      <c r="Z123" s="26" t="str">
        <f t="shared" si="8"/>
        <v>18</v>
      </c>
      <c r="AA123" s="26" t="str">
        <f t="shared" si="11"/>
        <v>04</v>
      </c>
      <c r="AB123" s="26" t="str">
        <f t="shared" si="9"/>
        <v>2024</v>
      </c>
    </row>
    <row r="124" spans="1:28" x14ac:dyDescent="0.25">
      <c r="A124" s="30">
        <v>45400</v>
      </c>
      <c r="B124" s="26" t="s">
        <v>491</v>
      </c>
      <c r="C124" s="26" t="s">
        <v>2</v>
      </c>
      <c r="D124" s="26" t="s">
        <v>493</v>
      </c>
      <c r="E124" s="26" t="s">
        <v>142</v>
      </c>
      <c r="F124" s="28" t="s">
        <v>605</v>
      </c>
      <c r="G124" s="26" t="s">
        <v>160</v>
      </c>
      <c r="H124" s="26" t="s">
        <v>325</v>
      </c>
      <c r="I124" s="26" t="s">
        <v>579</v>
      </c>
      <c r="J124" s="30">
        <v>45419</v>
      </c>
      <c r="K124" s="26" t="s">
        <v>546</v>
      </c>
      <c r="L124" s="26" t="s">
        <v>607</v>
      </c>
      <c r="M124" s="30">
        <v>45419</v>
      </c>
      <c r="N124" s="26" t="s">
        <v>607</v>
      </c>
      <c r="O124" s="26" t="s">
        <v>582</v>
      </c>
      <c r="P124" s="31">
        <v>30</v>
      </c>
      <c r="Q124" s="31">
        <v>10</v>
      </c>
      <c r="R124" s="26" t="s">
        <v>547</v>
      </c>
      <c r="S124" s="26"/>
      <c r="T124" s="31"/>
      <c r="U124" s="26"/>
      <c r="V124" s="26">
        <f t="shared" si="6"/>
        <v>1</v>
      </c>
      <c r="W124" s="26">
        <f t="shared" si="10"/>
        <v>1</v>
      </c>
      <c r="X124" s="26">
        <f>Data_Base[[#This Row],[B.N Total]]-Data_Base[[#This Row],[Nbre Brachements exécuté]]</f>
        <v>0</v>
      </c>
      <c r="Y124" s="26" t="str">
        <f t="shared" si="7"/>
        <v>jeudi</v>
      </c>
      <c r="Z124" s="26" t="str">
        <f t="shared" si="8"/>
        <v>18</v>
      </c>
      <c r="AA124" s="26" t="str">
        <f t="shared" si="11"/>
        <v>04</v>
      </c>
      <c r="AB124" s="26" t="str">
        <f t="shared" si="9"/>
        <v>2024</v>
      </c>
    </row>
    <row r="125" spans="1:28" x14ac:dyDescent="0.25">
      <c r="A125" s="30">
        <v>45400</v>
      </c>
      <c r="B125" s="26" t="s">
        <v>494</v>
      </c>
      <c r="C125" s="26" t="s">
        <v>2</v>
      </c>
      <c r="D125" s="26" t="s">
        <v>495</v>
      </c>
      <c r="E125" s="26"/>
      <c r="G125" s="26"/>
      <c r="H125" s="26"/>
      <c r="I125" s="26"/>
      <c r="J125" s="30"/>
      <c r="K125" s="26"/>
      <c r="M125" s="30"/>
      <c r="O125" s="26"/>
      <c r="P125" s="31"/>
      <c r="Q125" s="31"/>
      <c r="R125" s="26"/>
      <c r="S125" s="26"/>
      <c r="T125" s="31"/>
      <c r="U125" s="26"/>
      <c r="V125" s="26">
        <f t="shared" si="6"/>
        <v>1</v>
      </c>
      <c r="W125" s="26">
        <f t="shared" si="10"/>
        <v>0</v>
      </c>
      <c r="X125" s="26">
        <f>Data_Base[[#This Row],[B.N Total]]-Data_Base[[#This Row],[Nbre Brachements exécuté]]</f>
        <v>1</v>
      </c>
      <c r="Y125" s="26" t="str">
        <f t="shared" si="7"/>
        <v>jeudi</v>
      </c>
      <c r="Z125" s="26" t="str">
        <f t="shared" si="8"/>
        <v>18</v>
      </c>
      <c r="AA125" s="26" t="str">
        <f t="shared" si="11"/>
        <v>04</v>
      </c>
      <c r="AB125" s="26" t="str">
        <f t="shared" si="9"/>
        <v>2024</v>
      </c>
    </row>
    <row r="126" spans="1:28" x14ac:dyDescent="0.25">
      <c r="A126" s="30">
        <v>45400</v>
      </c>
      <c r="B126" s="26" t="s">
        <v>496</v>
      </c>
      <c r="C126" s="26" t="s">
        <v>2</v>
      </c>
      <c r="D126" s="26" t="s">
        <v>497</v>
      </c>
      <c r="E126" s="26" t="s">
        <v>142</v>
      </c>
      <c r="F126" s="28" t="s">
        <v>608</v>
      </c>
      <c r="G126" s="26" t="s">
        <v>160</v>
      </c>
      <c r="H126" s="26" t="s">
        <v>325</v>
      </c>
      <c r="I126" s="26" t="s">
        <v>160</v>
      </c>
      <c r="J126" s="30">
        <v>45407</v>
      </c>
      <c r="K126" s="26" t="s">
        <v>546</v>
      </c>
      <c r="L126" s="26" t="s">
        <v>609</v>
      </c>
      <c r="M126" s="30">
        <v>45407</v>
      </c>
      <c r="N126" s="26" t="s">
        <v>609</v>
      </c>
      <c r="O126" s="26" t="s">
        <v>141</v>
      </c>
      <c r="P126" s="31">
        <v>30</v>
      </c>
      <c r="Q126" s="31"/>
      <c r="R126" s="26" t="s">
        <v>547</v>
      </c>
      <c r="S126" s="26" t="s">
        <v>548</v>
      </c>
      <c r="T126" s="31"/>
      <c r="U126" s="26"/>
      <c r="V126" s="26">
        <f t="shared" si="6"/>
        <v>1</v>
      </c>
      <c r="W126" s="26">
        <f t="shared" si="10"/>
        <v>1</v>
      </c>
      <c r="X126" s="26">
        <f>Data_Base[[#This Row],[B.N Total]]-Data_Base[[#This Row],[Nbre Brachements exécuté]]</f>
        <v>0</v>
      </c>
      <c r="Y126" s="26" t="str">
        <f t="shared" si="7"/>
        <v>jeudi</v>
      </c>
      <c r="Z126" s="26" t="str">
        <f t="shared" si="8"/>
        <v>18</v>
      </c>
      <c r="AA126" s="26" t="str">
        <f t="shared" si="11"/>
        <v>04</v>
      </c>
      <c r="AB126" s="26" t="str">
        <f t="shared" si="9"/>
        <v>2024</v>
      </c>
    </row>
    <row r="127" spans="1:28" x14ac:dyDescent="0.25">
      <c r="A127" s="30">
        <v>45400</v>
      </c>
      <c r="B127" s="26" t="s">
        <v>496</v>
      </c>
      <c r="C127" s="26" t="s">
        <v>2</v>
      </c>
      <c r="D127" s="26" t="s">
        <v>498</v>
      </c>
      <c r="E127" s="26"/>
      <c r="G127" s="26"/>
      <c r="H127" s="26"/>
      <c r="I127" s="26"/>
      <c r="J127" s="30"/>
      <c r="K127" s="26"/>
      <c r="M127" s="30"/>
      <c r="O127" s="26"/>
      <c r="P127" s="31"/>
      <c r="Q127" s="31"/>
      <c r="R127" s="26"/>
      <c r="S127" s="26"/>
      <c r="T127" s="31"/>
      <c r="U127" s="26"/>
      <c r="V127" s="26">
        <f t="shared" si="6"/>
        <v>1</v>
      </c>
      <c r="W127" s="26">
        <f t="shared" si="10"/>
        <v>0</v>
      </c>
      <c r="X127" s="26">
        <f>Data_Base[[#This Row],[B.N Total]]-Data_Base[[#This Row],[Nbre Brachements exécuté]]</f>
        <v>1</v>
      </c>
      <c r="Y127" s="26" t="str">
        <f t="shared" si="7"/>
        <v>jeudi</v>
      </c>
      <c r="Z127" s="26" t="str">
        <f t="shared" si="8"/>
        <v>18</v>
      </c>
      <c r="AA127" s="26" t="str">
        <f t="shared" si="11"/>
        <v>04</v>
      </c>
      <c r="AB127" s="26" t="str">
        <f t="shared" si="9"/>
        <v>2024</v>
      </c>
    </row>
    <row r="128" spans="1:28" x14ac:dyDescent="0.25">
      <c r="A128" s="30">
        <v>45400</v>
      </c>
      <c r="B128" s="26" t="s">
        <v>499</v>
      </c>
      <c r="C128" s="26" t="s">
        <v>2</v>
      </c>
      <c r="D128" s="26" t="s">
        <v>500</v>
      </c>
      <c r="E128" s="26"/>
      <c r="F128" s="28" t="s">
        <v>322</v>
      </c>
      <c r="G128" s="26" t="s">
        <v>160</v>
      </c>
      <c r="H128" s="26" t="s">
        <v>177</v>
      </c>
      <c r="I128" s="26" t="s">
        <v>1146</v>
      </c>
      <c r="J128" s="30">
        <v>45425</v>
      </c>
      <c r="K128" s="26" t="s">
        <v>546</v>
      </c>
      <c r="M128" s="30"/>
      <c r="O128" s="26"/>
      <c r="P128" s="31"/>
      <c r="Q128" s="31"/>
      <c r="R128" s="26"/>
      <c r="S128" s="26"/>
      <c r="T128" s="31"/>
      <c r="U128" s="26"/>
      <c r="V128" s="26">
        <f t="shared" si="6"/>
        <v>1</v>
      </c>
      <c r="W128" s="26">
        <f t="shared" si="10"/>
        <v>0</v>
      </c>
      <c r="X128" s="26">
        <f>Data_Base[[#This Row],[B.N Total]]-Data_Base[[#This Row],[Nbre Brachements exécuté]]</f>
        <v>1</v>
      </c>
      <c r="Y128" s="26" t="str">
        <f t="shared" si="7"/>
        <v>jeudi</v>
      </c>
      <c r="Z128" s="26" t="str">
        <f t="shared" si="8"/>
        <v>18</v>
      </c>
      <c r="AA128" s="26" t="str">
        <f t="shared" si="11"/>
        <v>04</v>
      </c>
      <c r="AB128" s="26" t="str">
        <f t="shared" si="9"/>
        <v>2024</v>
      </c>
    </row>
    <row r="129" spans="1:28" x14ac:dyDescent="0.25">
      <c r="A129" s="30">
        <v>45400</v>
      </c>
      <c r="B129" s="26" t="s">
        <v>501</v>
      </c>
      <c r="C129" s="26" t="s">
        <v>2</v>
      </c>
      <c r="D129" s="26" t="s">
        <v>502</v>
      </c>
      <c r="E129" s="26"/>
      <c r="G129" s="26"/>
      <c r="H129" s="26"/>
      <c r="I129" s="26"/>
      <c r="J129" s="30">
        <v>45425</v>
      </c>
      <c r="K129" s="26"/>
      <c r="M129" s="30"/>
      <c r="O129" s="26"/>
      <c r="P129" s="31"/>
      <c r="Q129" s="31"/>
      <c r="R129" s="26"/>
      <c r="S129" s="26"/>
      <c r="T129" s="31"/>
      <c r="U129" s="26"/>
      <c r="V129" s="26">
        <f t="shared" si="6"/>
        <v>1</v>
      </c>
      <c r="W129" s="26">
        <f t="shared" si="10"/>
        <v>0</v>
      </c>
      <c r="X129" s="26">
        <f>Data_Base[[#This Row],[B.N Total]]-Data_Base[[#This Row],[Nbre Brachements exécuté]]</f>
        <v>1</v>
      </c>
      <c r="Y129" s="26" t="str">
        <f t="shared" si="7"/>
        <v>jeudi</v>
      </c>
      <c r="Z129" s="26" t="str">
        <f t="shared" si="8"/>
        <v>18</v>
      </c>
      <c r="AA129" s="26" t="str">
        <f t="shared" si="11"/>
        <v>04</v>
      </c>
      <c r="AB129" s="26" t="str">
        <f t="shared" si="9"/>
        <v>2024</v>
      </c>
    </row>
    <row r="130" spans="1:28" x14ac:dyDescent="0.25">
      <c r="A130" s="30">
        <v>45404</v>
      </c>
      <c r="B130" s="26" t="s">
        <v>510</v>
      </c>
      <c r="C130" s="26" t="s">
        <v>3</v>
      </c>
      <c r="D130" s="26" t="s">
        <v>511</v>
      </c>
      <c r="E130" s="26"/>
      <c r="G130" s="26"/>
      <c r="H130" s="26"/>
      <c r="I130" s="26"/>
      <c r="J130" s="30">
        <v>45425</v>
      </c>
      <c r="K130" s="26"/>
      <c r="M130" s="30"/>
      <c r="O130" s="26"/>
      <c r="P130" s="31"/>
      <c r="Q130" s="31"/>
      <c r="R130" s="26"/>
      <c r="S130" s="26"/>
      <c r="T130" s="31"/>
      <c r="U130" s="26"/>
      <c r="V130" s="26">
        <f t="shared" ref="V130:V193" si="12">COUNTA(B130)</f>
        <v>1</v>
      </c>
      <c r="W130" s="26">
        <f t="shared" si="10"/>
        <v>0</v>
      </c>
      <c r="X130" s="26">
        <f>Data_Base[[#This Row],[B.N Total]]-Data_Base[[#This Row],[Nbre Brachements exécuté]]</f>
        <v>1</v>
      </c>
      <c r="Y130" s="26" t="str">
        <f t="shared" ref="Y130:Y193" si="13">IF(A130=""," ",TEXT(A130,"jjjj"))</f>
        <v>lundi</v>
      </c>
      <c r="Z130" s="26" t="str">
        <f t="shared" ref="Z130:Z193" si="14">IF(A130="","",TEXT(A130,"jj"))</f>
        <v>22</v>
      </c>
      <c r="AA130" s="26" t="str">
        <f t="shared" si="11"/>
        <v>04</v>
      </c>
      <c r="AB130" s="26" t="str">
        <f t="shared" ref="AB130:AB193" si="15">IF(A130=""," ",TEXT(A130,"aaaa"))</f>
        <v>2024</v>
      </c>
    </row>
    <row r="131" spans="1:28" x14ac:dyDescent="0.25">
      <c r="A131" s="30">
        <v>45404</v>
      </c>
      <c r="B131" s="26" t="s">
        <v>512</v>
      </c>
      <c r="C131" s="26" t="s">
        <v>3</v>
      </c>
      <c r="D131" s="26" t="s">
        <v>513</v>
      </c>
      <c r="E131" s="26"/>
      <c r="G131" s="26"/>
      <c r="H131" s="26"/>
      <c r="I131" s="26"/>
      <c r="J131" s="30">
        <v>45425</v>
      </c>
      <c r="K131" s="26"/>
      <c r="M131" s="30"/>
      <c r="O131" s="26"/>
      <c r="P131" s="31"/>
      <c r="Q131" s="31"/>
      <c r="R131" s="26"/>
      <c r="S131" s="26"/>
      <c r="T131" s="31"/>
      <c r="U131" s="26"/>
      <c r="V131" s="26">
        <f t="shared" si="12"/>
        <v>1</v>
      </c>
      <c r="W131" s="26">
        <f t="shared" ref="W131:W194" si="16">COUNTA(N131)</f>
        <v>0</v>
      </c>
      <c r="X131" s="26">
        <f>Data_Base[[#This Row],[B.N Total]]-Data_Base[[#This Row],[Nbre Brachements exécuté]]</f>
        <v>1</v>
      </c>
      <c r="Y131" s="26" t="str">
        <f t="shared" si="13"/>
        <v>lundi</v>
      </c>
      <c r="Z131" s="26" t="str">
        <f t="shared" si="14"/>
        <v>22</v>
      </c>
      <c r="AA131" s="26" t="str">
        <f t="shared" ref="AA131:AA194" si="17">IF(A131=""," ",TEXT(A131,"mm"))</f>
        <v>04</v>
      </c>
      <c r="AB131" s="26" t="str">
        <f t="shared" si="15"/>
        <v>2024</v>
      </c>
    </row>
    <row r="132" spans="1:28" x14ac:dyDescent="0.25">
      <c r="A132" s="30">
        <v>45404</v>
      </c>
      <c r="B132" s="26" t="s">
        <v>514</v>
      </c>
      <c r="C132" s="26" t="s">
        <v>3</v>
      </c>
      <c r="D132" s="26" t="s">
        <v>515</v>
      </c>
      <c r="E132" s="26"/>
      <c r="G132" s="26"/>
      <c r="H132" s="26"/>
      <c r="I132" s="26"/>
      <c r="J132" s="30">
        <v>45425</v>
      </c>
      <c r="K132" s="26"/>
      <c r="M132" s="30"/>
      <c r="O132" s="26"/>
      <c r="P132" s="31"/>
      <c r="Q132" s="31"/>
      <c r="R132" s="26"/>
      <c r="S132" s="26"/>
      <c r="T132" s="31"/>
      <c r="U132" s="26"/>
      <c r="V132" s="26">
        <f t="shared" si="12"/>
        <v>1</v>
      </c>
      <c r="W132" s="26">
        <f t="shared" si="16"/>
        <v>0</v>
      </c>
      <c r="X132" s="26">
        <f>Data_Base[[#This Row],[B.N Total]]-Data_Base[[#This Row],[Nbre Brachements exécuté]]</f>
        <v>1</v>
      </c>
      <c r="Y132" s="26" t="str">
        <f t="shared" si="13"/>
        <v>lundi</v>
      </c>
      <c r="Z132" s="26" t="str">
        <f t="shared" si="14"/>
        <v>22</v>
      </c>
      <c r="AA132" s="26" t="str">
        <f t="shared" si="17"/>
        <v>04</v>
      </c>
      <c r="AB132" s="26" t="str">
        <f t="shared" si="15"/>
        <v>2024</v>
      </c>
    </row>
    <row r="133" spans="1:28" x14ac:dyDescent="0.25">
      <c r="A133" s="30">
        <v>45404</v>
      </c>
      <c r="B133" s="26" t="s">
        <v>84</v>
      </c>
      <c r="C133" s="26" t="s">
        <v>66</v>
      </c>
      <c r="D133" s="26" t="s">
        <v>85</v>
      </c>
      <c r="E133" s="26"/>
      <c r="G133" s="26"/>
      <c r="H133" s="26"/>
      <c r="I133" s="26"/>
      <c r="J133" s="30">
        <v>45425</v>
      </c>
      <c r="K133" s="26"/>
      <c r="M133" s="30"/>
      <c r="O133" s="26"/>
      <c r="P133" s="31"/>
      <c r="Q133" s="31"/>
      <c r="R133" s="26"/>
      <c r="S133" s="26"/>
      <c r="T133" s="31"/>
      <c r="U133" s="26"/>
      <c r="V133" s="26">
        <f t="shared" si="12"/>
        <v>1</v>
      </c>
      <c r="W133" s="26">
        <f t="shared" si="16"/>
        <v>0</v>
      </c>
      <c r="X133" s="26">
        <f>Data_Base[[#This Row],[B.N Total]]-Data_Base[[#This Row],[Nbre Brachements exécuté]]</f>
        <v>1</v>
      </c>
      <c r="Y133" s="26" t="str">
        <f t="shared" si="13"/>
        <v>lundi</v>
      </c>
      <c r="Z133" s="26" t="str">
        <f t="shared" si="14"/>
        <v>22</v>
      </c>
      <c r="AA133" s="26" t="str">
        <f t="shared" si="17"/>
        <v>04</v>
      </c>
      <c r="AB133" s="26" t="str">
        <f t="shared" si="15"/>
        <v>2024</v>
      </c>
    </row>
    <row r="134" spans="1:28" x14ac:dyDescent="0.25">
      <c r="A134" s="30">
        <v>45404</v>
      </c>
      <c r="B134" s="26" t="s">
        <v>13</v>
      </c>
      <c r="C134" s="26" t="s">
        <v>2</v>
      </c>
      <c r="D134" s="26" t="s">
        <v>12</v>
      </c>
      <c r="E134" s="26"/>
      <c r="G134" s="26"/>
      <c r="H134" s="26"/>
      <c r="I134" s="26"/>
      <c r="J134" s="30">
        <v>45425</v>
      </c>
      <c r="K134" s="26"/>
      <c r="M134" s="30"/>
      <c r="O134" s="26"/>
      <c r="P134" s="31"/>
      <c r="Q134" s="31"/>
      <c r="R134" s="26"/>
      <c r="S134" s="26"/>
      <c r="T134" s="31"/>
      <c r="U134" s="26"/>
      <c r="V134" s="26">
        <f t="shared" si="12"/>
        <v>1</v>
      </c>
      <c r="W134" s="26">
        <f t="shared" si="16"/>
        <v>0</v>
      </c>
      <c r="X134" s="26">
        <f>Data_Base[[#This Row],[B.N Total]]-Data_Base[[#This Row],[Nbre Brachements exécuté]]</f>
        <v>1</v>
      </c>
      <c r="Y134" s="26" t="str">
        <f t="shared" si="13"/>
        <v>lundi</v>
      </c>
      <c r="Z134" s="26" t="str">
        <f t="shared" si="14"/>
        <v>22</v>
      </c>
      <c r="AA134" s="26" t="str">
        <f t="shared" si="17"/>
        <v>04</v>
      </c>
      <c r="AB134" s="26" t="str">
        <f t="shared" si="15"/>
        <v>2024</v>
      </c>
    </row>
    <row r="135" spans="1:28" x14ac:dyDescent="0.25">
      <c r="A135" s="30">
        <v>45404</v>
      </c>
      <c r="B135" s="26" t="s">
        <v>135</v>
      </c>
      <c r="C135" s="26" t="s">
        <v>2</v>
      </c>
      <c r="D135" s="26" t="s">
        <v>86</v>
      </c>
      <c r="E135" s="26"/>
      <c r="G135" s="26"/>
      <c r="H135" s="26"/>
      <c r="I135" s="26"/>
      <c r="J135" s="30"/>
      <c r="K135" s="26"/>
      <c r="M135" s="30"/>
      <c r="O135" s="26"/>
      <c r="P135" s="31"/>
      <c r="Q135" s="31"/>
      <c r="R135" s="26"/>
      <c r="S135" s="26"/>
      <c r="T135" s="31" t="s">
        <v>610</v>
      </c>
      <c r="U135" s="26"/>
      <c r="V135" s="26">
        <f t="shared" si="12"/>
        <v>1</v>
      </c>
      <c r="W135" s="26">
        <f t="shared" si="16"/>
        <v>0</v>
      </c>
      <c r="X135" s="26">
        <f>Data_Base[[#This Row],[B.N Total]]-Data_Base[[#This Row],[Nbre Brachements exécuté]]</f>
        <v>1</v>
      </c>
      <c r="Y135" s="26" t="str">
        <f t="shared" si="13"/>
        <v>lundi</v>
      </c>
      <c r="Z135" s="26" t="str">
        <f t="shared" si="14"/>
        <v>22</v>
      </c>
      <c r="AA135" s="26" t="str">
        <f t="shared" si="17"/>
        <v>04</v>
      </c>
      <c r="AB135" s="26" t="str">
        <f t="shared" si="15"/>
        <v>2024</v>
      </c>
    </row>
    <row r="136" spans="1:28" x14ac:dyDescent="0.25">
      <c r="A136" s="30">
        <v>45397</v>
      </c>
      <c r="B136" s="26" t="s">
        <v>134</v>
      </c>
      <c r="C136" s="26" t="s">
        <v>2</v>
      </c>
      <c r="D136" s="26" t="s">
        <v>7</v>
      </c>
      <c r="E136" s="26" t="s">
        <v>142</v>
      </c>
      <c r="F136" s="28" t="s">
        <v>593</v>
      </c>
      <c r="G136" s="26" t="s">
        <v>160</v>
      </c>
      <c r="H136" s="26" t="s">
        <v>161</v>
      </c>
      <c r="I136" s="26" t="s">
        <v>586</v>
      </c>
      <c r="J136" s="30">
        <v>45418</v>
      </c>
      <c r="K136" s="26"/>
      <c r="M136" s="30"/>
      <c r="O136" s="26"/>
      <c r="P136" s="31"/>
      <c r="Q136" s="31"/>
      <c r="R136" s="26"/>
      <c r="S136" s="26"/>
      <c r="T136" s="31"/>
      <c r="U136" s="26"/>
      <c r="V136" s="26">
        <f t="shared" si="12"/>
        <v>1</v>
      </c>
      <c r="W136" s="26">
        <f t="shared" si="16"/>
        <v>0</v>
      </c>
      <c r="X136" s="26">
        <f>Data_Base[[#This Row],[B.N Total]]-Data_Base[[#This Row],[Nbre Brachements exécuté]]</f>
        <v>1</v>
      </c>
      <c r="Y136" s="26" t="str">
        <f t="shared" si="13"/>
        <v>lundi</v>
      </c>
      <c r="Z136" s="26" t="str">
        <f t="shared" si="14"/>
        <v>15</v>
      </c>
      <c r="AA136" s="26" t="str">
        <f t="shared" si="17"/>
        <v>04</v>
      </c>
      <c r="AB136" s="26" t="str">
        <f t="shared" si="15"/>
        <v>2024</v>
      </c>
    </row>
    <row r="137" spans="1:28" x14ac:dyDescent="0.25">
      <c r="A137" s="30">
        <v>45397</v>
      </c>
      <c r="B137" s="26" t="s">
        <v>133</v>
      </c>
      <c r="C137" s="26" t="s">
        <v>66</v>
      </c>
      <c r="D137" s="26" t="s">
        <v>87</v>
      </c>
      <c r="E137" s="26" t="s">
        <v>142</v>
      </c>
      <c r="F137" s="28" t="s">
        <v>611</v>
      </c>
      <c r="G137" s="26" t="s">
        <v>164</v>
      </c>
      <c r="H137" s="26" t="s">
        <v>165</v>
      </c>
      <c r="I137" s="26" t="s">
        <v>164</v>
      </c>
      <c r="J137" s="30">
        <v>45399</v>
      </c>
      <c r="K137" s="26" t="s">
        <v>546</v>
      </c>
      <c r="L137" s="26" t="s">
        <v>612</v>
      </c>
      <c r="M137" s="30">
        <v>45399</v>
      </c>
      <c r="N137" s="26" t="s">
        <v>612</v>
      </c>
      <c r="O137" s="26" t="s">
        <v>141</v>
      </c>
      <c r="P137" s="31">
        <v>20</v>
      </c>
      <c r="Q137" s="31"/>
      <c r="R137" s="26" t="s">
        <v>547</v>
      </c>
      <c r="S137" s="26" t="s">
        <v>548</v>
      </c>
      <c r="T137" s="31" t="s">
        <v>549</v>
      </c>
      <c r="U137" s="26" t="s">
        <v>550</v>
      </c>
      <c r="V137" s="26">
        <f t="shared" si="12"/>
        <v>1</v>
      </c>
      <c r="W137" s="26">
        <f t="shared" si="16"/>
        <v>1</v>
      </c>
      <c r="X137" s="26">
        <f>Data_Base[[#This Row],[B.N Total]]-Data_Base[[#This Row],[Nbre Brachements exécuté]]</f>
        <v>0</v>
      </c>
      <c r="Y137" s="26" t="str">
        <f t="shared" si="13"/>
        <v>lundi</v>
      </c>
      <c r="Z137" s="26" t="str">
        <f t="shared" si="14"/>
        <v>15</v>
      </c>
      <c r="AA137" s="26" t="str">
        <f t="shared" si="17"/>
        <v>04</v>
      </c>
      <c r="AB137" s="26" t="str">
        <f t="shared" si="15"/>
        <v>2024</v>
      </c>
    </row>
    <row r="138" spans="1:28" x14ac:dyDescent="0.25">
      <c r="A138" s="30">
        <v>45397</v>
      </c>
      <c r="B138" s="26" t="s">
        <v>132</v>
      </c>
      <c r="C138" s="26" t="s">
        <v>2</v>
      </c>
      <c r="D138" s="26" t="s">
        <v>88</v>
      </c>
      <c r="E138" s="26"/>
      <c r="G138" s="26"/>
      <c r="H138" s="26"/>
      <c r="I138" s="26"/>
      <c r="J138" s="30"/>
      <c r="K138" s="26"/>
      <c r="M138" s="30"/>
      <c r="O138" s="26"/>
      <c r="P138" s="31"/>
      <c r="Q138" s="31"/>
      <c r="R138" s="26"/>
      <c r="S138" s="26"/>
      <c r="T138" s="31"/>
      <c r="U138" s="26"/>
      <c r="V138" s="26">
        <f t="shared" si="12"/>
        <v>1</v>
      </c>
      <c r="W138" s="26">
        <f t="shared" si="16"/>
        <v>0</v>
      </c>
      <c r="X138" s="26">
        <f>Data_Base[[#This Row],[B.N Total]]-Data_Base[[#This Row],[Nbre Brachements exécuté]]</f>
        <v>1</v>
      </c>
      <c r="Y138" s="26" t="str">
        <f t="shared" si="13"/>
        <v>lundi</v>
      </c>
      <c r="Z138" s="26" t="str">
        <f t="shared" si="14"/>
        <v>15</v>
      </c>
      <c r="AA138" s="26" t="str">
        <f t="shared" si="17"/>
        <v>04</v>
      </c>
      <c r="AB138" s="26" t="str">
        <f t="shared" si="15"/>
        <v>2024</v>
      </c>
    </row>
    <row r="139" spans="1:28" x14ac:dyDescent="0.25">
      <c r="A139" s="30">
        <v>45397</v>
      </c>
      <c r="B139" s="26" t="s">
        <v>131</v>
      </c>
      <c r="C139" s="26" t="s">
        <v>66</v>
      </c>
      <c r="D139" s="26" t="s">
        <v>89</v>
      </c>
      <c r="E139" s="26"/>
      <c r="G139" s="26"/>
      <c r="H139" s="26"/>
      <c r="I139" s="26"/>
      <c r="J139" s="30"/>
      <c r="K139" s="26"/>
      <c r="M139" s="30"/>
      <c r="O139" s="26"/>
      <c r="P139" s="31"/>
      <c r="Q139" s="31"/>
      <c r="R139" s="26"/>
      <c r="S139" s="26"/>
      <c r="T139" s="31"/>
      <c r="U139" s="26"/>
      <c r="V139" s="26">
        <f t="shared" si="12"/>
        <v>1</v>
      </c>
      <c r="W139" s="26">
        <f t="shared" si="16"/>
        <v>0</v>
      </c>
      <c r="X139" s="26">
        <f>Data_Base[[#This Row],[B.N Total]]-Data_Base[[#This Row],[Nbre Brachements exécuté]]</f>
        <v>1</v>
      </c>
      <c r="Y139" s="26" t="str">
        <f t="shared" si="13"/>
        <v>lundi</v>
      </c>
      <c r="Z139" s="26" t="str">
        <f t="shared" si="14"/>
        <v>15</v>
      </c>
      <c r="AA139" s="26" t="str">
        <f t="shared" si="17"/>
        <v>04</v>
      </c>
      <c r="AB139" s="26" t="str">
        <f t="shared" si="15"/>
        <v>2024</v>
      </c>
    </row>
    <row r="140" spans="1:28" x14ac:dyDescent="0.25">
      <c r="A140" s="30">
        <v>45397</v>
      </c>
      <c r="B140" s="26" t="s">
        <v>130</v>
      </c>
      <c r="C140" s="26" t="s">
        <v>66</v>
      </c>
      <c r="D140" s="26" t="s">
        <v>90</v>
      </c>
      <c r="E140" s="26"/>
      <c r="G140" s="26"/>
      <c r="H140" s="26"/>
      <c r="I140" s="26"/>
      <c r="J140" s="30"/>
      <c r="K140" s="26"/>
      <c r="M140" s="30"/>
      <c r="O140" s="26"/>
      <c r="P140" s="31"/>
      <c r="Q140" s="31"/>
      <c r="R140" s="26"/>
      <c r="S140" s="26"/>
      <c r="T140" s="31"/>
      <c r="U140" s="26"/>
      <c r="V140" s="26">
        <f t="shared" si="12"/>
        <v>1</v>
      </c>
      <c r="W140" s="26">
        <f t="shared" si="16"/>
        <v>0</v>
      </c>
      <c r="X140" s="26">
        <f>Data_Base[[#This Row],[B.N Total]]-Data_Base[[#This Row],[Nbre Brachements exécuté]]</f>
        <v>1</v>
      </c>
      <c r="Y140" s="26" t="str">
        <f t="shared" si="13"/>
        <v>lundi</v>
      </c>
      <c r="Z140" s="26" t="str">
        <f t="shared" si="14"/>
        <v>15</v>
      </c>
      <c r="AA140" s="26" t="str">
        <f t="shared" si="17"/>
        <v>04</v>
      </c>
      <c r="AB140" s="26" t="str">
        <f t="shared" si="15"/>
        <v>2024</v>
      </c>
    </row>
    <row r="141" spans="1:28" x14ac:dyDescent="0.25">
      <c r="A141" s="30">
        <v>45397</v>
      </c>
      <c r="B141" s="26" t="s">
        <v>129</v>
      </c>
      <c r="C141" s="26" t="s">
        <v>66</v>
      </c>
      <c r="D141" s="26" t="s">
        <v>91</v>
      </c>
      <c r="E141" s="26"/>
      <c r="G141" s="26"/>
      <c r="H141" s="26"/>
      <c r="I141" s="26"/>
      <c r="J141" s="30"/>
      <c r="K141" s="26"/>
      <c r="M141" s="30"/>
      <c r="O141" s="26"/>
      <c r="P141" s="31"/>
      <c r="Q141" s="31"/>
      <c r="R141" s="26"/>
      <c r="S141" s="26"/>
      <c r="T141" s="31"/>
      <c r="U141" s="26"/>
      <c r="V141" s="26">
        <f t="shared" si="12"/>
        <v>1</v>
      </c>
      <c r="W141" s="26">
        <f t="shared" si="16"/>
        <v>0</v>
      </c>
      <c r="X141" s="26">
        <f>Data_Base[[#This Row],[B.N Total]]-Data_Base[[#This Row],[Nbre Brachements exécuté]]</f>
        <v>1</v>
      </c>
      <c r="Y141" s="26" t="str">
        <f t="shared" si="13"/>
        <v>lundi</v>
      </c>
      <c r="Z141" s="26" t="str">
        <f t="shared" si="14"/>
        <v>15</v>
      </c>
      <c r="AA141" s="26" t="str">
        <f t="shared" si="17"/>
        <v>04</v>
      </c>
      <c r="AB141" s="26" t="str">
        <f t="shared" si="15"/>
        <v>2024</v>
      </c>
    </row>
    <row r="142" spans="1:28" x14ac:dyDescent="0.25">
      <c r="A142" s="30">
        <v>45397</v>
      </c>
      <c r="B142" s="26" t="s">
        <v>128</v>
      </c>
      <c r="C142" s="26" t="s">
        <v>66</v>
      </c>
      <c r="D142" s="26" t="s">
        <v>92</v>
      </c>
      <c r="E142" s="26" t="s">
        <v>142</v>
      </c>
      <c r="F142" s="28" t="s">
        <v>304</v>
      </c>
      <c r="G142" s="26" t="s">
        <v>160</v>
      </c>
      <c r="H142" s="26" t="s">
        <v>177</v>
      </c>
      <c r="I142" s="26" t="s">
        <v>160</v>
      </c>
      <c r="J142" s="30">
        <v>45399</v>
      </c>
      <c r="K142" s="26" t="s">
        <v>546</v>
      </c>
      <c r="L142" s="26" t="s">
        <v>303</v>
      </c>
      <c r="M142" s="30">
        <v>45399</v>
      </c>
      <c r="N142" s="26" t="s">
        <v>303</v>
      </c>
      <c r="O142" s="26" t="s">
        <v>141</v>
      </c>
      <c r="P142" s="31">
        <v>15</v>
      </c>
      <c r="Q142" s="31"/>
      <c r="R142" s="26" t="s">
        <v>547</v>
      </c>
      <c r="S142" s="26" t="s">
        <v>548</v>
      </c>
      <c r="T142" s="31" t="s">
        <v>549</v>
      </c>
      <c r="U142" s="26" t="s">
        <v>550</v>
      </c>
      <c r="V142" s="26">
        <f t="shared" si="12"/>
        <v>1</v>
      </c>
      <c r="W142" s="26">
        <f t="shared" si="16"/>
        <v>1</v>
      </c>
      <c r="X142" s="26">
        <f>Data_Base[[#This Row],[B.N Total]]-Data_Base[[#This Row],[Nbre Brachements exécuté]]</f>
        <v>0</v>
      </c>
      <c r="Y142" s="26" t="str">
        <f t="shared" si="13"/>
        <v>lundi</v>
      </c>
      <c r="Z142" s="26" t="str">
        <f t="shared" si="14"/>
        <v>15</v>
      </c>
      <c r="AA142" s="26" t="str">
        <f t="shared" si="17"/>
        <v>04</v>
      </c>
      <c r="AB142" s="26" t="str">
        <f t="shared" si="15"/>
        <v>2024</v>
      </c>
    </row>
    <row r="143" spans="1:28" x14ac:dyDescent="0.25">
      <c r="A143" s="30">
        <v>45397</v>
      </c>
      <c r="B143" s="26" t="s">
        <v>127</v>
      </c>
      <c r="C143" s="26" t="s">
        <v>66</v>
      </c>
      <c r="D143" s="26" t="s">
        <v>93</v>
      </c>
      <c r="E143" s="26"/>
      <c r="G143" s="26"/>
      <c r="H143" s="26"/>
      <c r="I143" s="26"/>
      <c r="J143" s="30"/>
      <c r="K143" s="26"/>
      <c r="M143" s="30"/>
      <c r="O143" s="26"/>
      <c r="P143" s="31"/>
      <c r="Q143" s="31"/>
      <c r="R143" s="26"/>
      <c r="S143" s="26"/>
      <c r="T143" s="31"/>
      <c r="U143" s="26"/>
      <c r="V143" s="26">
        <f t="shared" si="12"/>
        <v>1</v>
      </c>
      <c r="W143" s="26">
        <f t="shared" si="16"/>
        <v>0</v>
      </c>
      <c r="X143" s="26">
        <f>Data_Base[[#This Row],[B.N Total]]-Data_Base[[#This Row],[Nbre Brachements exécuté]]</f>
        <v>1</v>
      </c>
      <c r="Y143" s="26" t="str">
        <f t="shared" si="13"/>
        <v>lundi</v>
      </c>
      <c r="Z143" s="26" t="str">
        <f t="shared" si="14"/>
        <v>15</v>
      </c>
      <c r="AA143" s="26" t="str">
        <f t="shared" si="17"/>
        <v>04</v>
      </c>
      <c r="AB143" s="26" t="str">
        <f t="shared" si="15"/>
        <v>2024</v>
      </c>
    </row>
    <row r="144" spans="1:28" x14ac:dyDescent="0.25">
      <c r="A144" s="30">
        <v>45397</v>
      </c>
      <c r="B144" s="26" t="s">
        <v>125</v>
      </c>
      <c r="C144" s="26" t="s">
        <v>66</v>
      </c>
      <c r="D144" s="26" t="s">
        <v>94</v>
      </c>
      <c r="E144" s="26" t="s">
        <v>142</v>
      </c>
      <c r="F144" s="28" t="s">
        <v>302</v>
      </c>
      <c r="G144" s="26" t="s">
        <v>160</v>
      </c>
      <c r="H144" s="26" t="s">
        <v>177</v>
      </c>
      <c r="I144" s="26" t="s">
        <v>160</v>
      </c>
      <c r="J144" s="30">
        <v>45399</v>
      </c>
      <c r="K144" s="26" t="s">
        <v>546</v>
      </c>
      <c r="L144" s="26" t="s">
        <v>301</v>
      </c>
      <c r="M144" s="30">
        <v>45399</v>
      </c>
      <c r="N144" s="26" t="s">
        <v>301</v>
      </c>
      <c r="O144" s="26" t="s">
        <v>141</v>
      </c>
      <c r="P144" s="31">
        <v>15</v>
      </c>
      <c r="Q144" s="31"/>
      <c r="R144" s="26" t="s">
        <v>547</v>
      </c>
      <c r="S144" s="26" t="s">
        <v>548</v>
      </c>
      <c r="T144" s="31" t="s">
        <v>549</v>
      </c>
      <c r="U144" s="26" t="s">
        <v>550</v>
      </c>
      <c r="V144" s="26">
        <f t="shared" si="12"/>
        <v>1</v>
      </c>
      <c r="W144" s="26">
        <f t="shared" si="16"/>
        <v>1</v>
      </c>
      <c r="X144" s="26">
        <f>Data_Base[[#This Row],[B.N Total]]-Data_Base[[#This Row],[Nbre Brachements exécuté]]</f>
        <v>0</v>
      </c>
      <c r="Y144" s="26" t="str">
        <f t="shared" si="13"/>
        <v>lundi</v>
      </c>
      <c r="Z144" s="26" t="str">
        <f t="shared" si="14"/>
        <v>15</v>
      </c>
      <c r="AA144" s="26" t="str">
        <f t="shared" si="17"/>
        <v>04</v>
      </c>
      <c r="AB144" s="26" t="str">
        <f t="shared" si="15"/>
        <v>2024</v>
      </c>
    </row>
    <row r="145" spans="1:28" x14ac:dyDescent="0.25">
      <c r="A145" s="30">
        <v>45397</v>
      </c>
      <c r="B145" s="26" t="s">
        <v>126</v>
      </c>
      <c r="C145" s="26" t="s">
        <v>2</v>
      </c>
      <c r="D145" s="26" t="s">
        <v>95</v>
      </c>
      <c r="E145" s="26"/>
      <c r="G145" s="26"/>
      <c r="H145" s="26"/>
      <c r="I145" s="26"/>
      <c r="J145" s="30"/>
      <c r="K145" s="26"/>
      <c r="M145" s="30"/>
      <c r="O145" s="26"/>
      <c r="P145" s="31"/>
      <c r="Q145" s="31"/>
      <c r="R145" s="26"/>
      <c r="S145" s="26"/>
      <c r="T145" s="31"/>
      <c r="U145" s="26"/>
      <c r="V145" s="26">
        <f t="shared" si="12"/>
        <v>1</v>
      </c>
      <c r="W145" s="26">
        <f t="shared" si="16"/>
        <v>0</v>
      </c>
      <c r="X145" s="26">
        <f>Data_Base[[#This Row],[B.N Total]]-Data_Base[[#This Row],[Nbre Brachements exécuté]]</f>
        <v>1</v>
      </c>
      <c r="Y145" s="26" t="str">
        <f t="shared" si="13"/>
        <v>lundi</v>
      </c>
      <c r="Z145" s="26" t="str">
        <f t="shared" si="14"/>
        <v>15</v>
      </c>
      <c r="AA145" s="26" t="str">
        <f t="shared" si="17"/>
        <v>04</v>
      </c>
      <c r="AB145" s="26" t="str">
        <f t="shared" si="15"/>
        <v>2024</v>
      </c>
    </row>
    <row r="146" spans="1:28" x14ac:dyDescent="0.25">
      <c r="A146" s="30">
        <v>45397</v>
      </c>
      <c r="B146" s="26" t="s">
        <v>125</v>
      </c>
      <c r="C146" s="26" t="s">
        <v>66</v>
      </c>
      <c r="D146" s="26" t="s">
        <v>96</v>
      </c>
      <c r="E146" s="26" t="s">
        <v>200</v>
      </c>
      <c r="F146" s="28" t="s">
        <v>302</v>
      </c>
      <c r="G146" s="26" t="s">
        <v>160</v>
      </c>
      <c r="H146" s="26" t="s">
        <v>161</v>
      </c>
      <c r="I146" s="26" t="s">
        <v>160</v>
      </c>
      <c r="J146" s="30">
        <v>45399</v>
      </c>
      <c r="K146" s="26" t="s">
        <v>546</v>
      </c>
      <c r="L146" s="26" t="s">
        <v>353</v>
      </c>
      <c r="M146" s="30">
        <v>45399</v>
      </c>
      <c r="N146" s="26" t="s">
        <v>353</v>
      </c>
      <c r="O146" s="26" t="s">
        <v>141</v>
      </c>
      <c r="P146" s="31">
        <v>30</v>
      </c>
      <c r="Q146" s="31"/>
      <c r="R146" s="26" t="s">
        <v>547</v>
      </c>
      <c r="S146" s="26" t="s">
        <v>548</v>
      </c>
      <c r="T146" s="31" t="s">
        <v>549</v>
      </c>
      <c r="U146" s="26" t="s">
        <v>550</v>
      </c>
      <c r="V146" s="26">
        <f t="shared" si="12"/>
        <v>1</v>
      </c>
      <c r="W146" s="26">
        <f t="shared" si="16"/>
        <v>1</v>
      </c>
      <c r="X146" s="26">
        <f>Data_Base[[#This Row],[B.N Total]]-Data_Base[[#This Row],[Nbre Brachements exécuté]]</f>
        <v>0</v>
      </c>
      <c r="Y146" s="26" t="str">
        <f t="shared" si="13"/>
        <v>lundi</v>
      </c>
      <c r="Z146" s="26" t="str">
        <f t="shared" si="14"/>
        <v>15</v>
      </c>
      <c r="AA146" s="26" t="str">
        <f t="shared" si="17"/>
        <v>04</v>
      </c>
      <c r="AB146" s="26" t="str">
        <f t="shared" si="15"/>
        <v>2024</v>
      </c>
    </row>
    <row r="147" spans="1:28" x14ac:dyDescent="0.25">
      <c r="A147" s="30">
        <v>45397</v>
      </c>
      <c r="B147" s="26" t="s">
        <v>124</v>
      </c>
      <c r="C147" s="26" t="s">
        <v>66</v>
      </c>
      <c r="D147" s="26" t="s">
        <v>97</v>
      </c>
      <c r="E147" s="26"/>
      <c r="G147" s="26"/>
      <c r="H147" s="26"/>
      <c r="I147" s="26"/>
      <c r="J147" s="30"/>
      <c r="K147" s="26"/>
      <c r="M147" s="30"/>
      <c r="O147" s="26"/>
      <c r="P147" s="31"/>
      <c r="Q147" s="31"/>
      <c r="R147" s="26"/>
      <c r="S147" s="26"/>
      <c r="T147" s="31"/>
      <c r="U147" s="26"/>
      <c r="V147" s="26">
        <f t="shared" si="12"/>
        <v>1</v>
      </c>
      <c r="W147" s="26">
        <f t="shared" si="16"/>
        <v>0</v>
      </c>
      <c r="X147" s="26">
        <f>Data_Base[[#This Row],[B.N Total]]-Data_Base[[#This Row],[Nbre Brachements exécuté]]</f>
        <v>1</v>
      </c>
      <c r="Y147" s="26" t="str">
        <f t="shared" si="13"/>
        <v>lundi</v>
      </c>
      <c r="Z147" s="26" t="str">
        <f t="shared" si="14"/>
        <v>15</v>
      </c>
      <c r="AA147" s="26" t="str">
        <f t="shared" si="17"/>
        <v>04</v>
      </c>
      <c r="AB147" s="26" t="str">
        <f t="shared" si="15"/>
        <v>2024</v>
      </c>
    </row>
    <row r="148" spans="1:28" x14ac:dyDescent="0.25">
      <c r="A148" s="30">
        <v>45397</v>
      </c>
      <c r="B148" s="26" t="s">
        <v>123</v>
      </c>
      <c r="C148" s="26" t="s">
        <v>2</v>
      </c>
      <c r="D148" s="26" t="s">
        <v>98</v>
      </c>
      <c r="E148" s="26" t="s">
        <v>142</v>
      </c>
      <c r="F148" s="28" t="s">
        <v>359</v>
      </c>
      <c r="G148" s="26" t="s">
        <v>164</v>
      </c>
      <c r="H148" s="26" t="s">
        <v>221</v>
      </c>
      <c r="I148" s="26" t="s">
        <v>164</v>
      </c>
      <c r="J148" s="30">
        <v>45399</v>
      </c>
      <c r="K148" s="26" t="s">
        <v>546</v>
      </c>
      <c r="L148" s="26" t="s">
        <v>358</v>
      </c>
      <c r="M148" s="30">
        <v>45399</v>
      </c>
      <c r="N148" s="26" t="s">
        <v>358</v>
      </c>
      <c r="O148" s="26" t="s">
        <v>141</v>
      </c>
      <c r="P148" s="31">
        <v>15</v>
      </c>
      <c r="Q148" s="31"/>
      <c r="R148" s="26" t="s">
        <v>547</v>
      </c>
      <c r="S148" s="26" t="s">
        <v>548</v>
      </c>
      <c r="T148" s="31" t="s">
        <v>549</v>
      </c>
      <c r="U148" s="26" t="s">
        <v>550</v>
      </c>
      <c r="V148" s="26">
        <f t="shared" si="12"/>
        <v>1</v>
      </c>
      <c r="W148" s="26">
        <f t="shared" si="16"/>
        <v>1</v>
      </c>
      <c r="X148" s="26">
        <f>Data_Base[[#This Row],[B.N Total]]-Data_Base[[#This Row],[Nbre Brachements exécuté]]</f>
        <v>0</v>
      </c>
      <c r="Y148" s="26" t="str">
        <f t="shared" si="13"/>
        <v>lundi</v>
      </c>
      <c r="Z148" s="26" t="str">
        <f t="shared" si="14"/>
        <v>15</v>
      </c>
      <c r="AA148" s="26" t="str">
        <f t="shared" si="17"/>
        <v>04</v>
      </c>
      <c r="AB148" s="26" t="str">
        <f t="shared" si="15"/>
        <v>2024</v>
      </c>
    </row>
    <row r="149" spans="1:28" x14ac:dyDescent="0.25">
      <c r="A149" s="30">
        <v>45397</v>
      </c>
      <c r="B149" s="26" t="s">
        <v>122</v>
      </c>
      <c r="C149" s="26" t="s">
        <v>2</v>
      </c>
      <c r="D149" s="26" t="s">
        <v>99</v>
      </c>
      <c r="E149" s="26" t="s">
        <v>142</v>
      </c>
      <c r="F149" s="28" t="s">
        <v>355</v>
      </c>
      <c r="G149" s="26" t="s">
        <v>164</v>
      </c>
      <c r="H149" s="26" t="s">
        <v>221</v>
      </c>
      <c r="I149" s="26" t="s">
        <v>164</v>
      </c>
      <c r="J149" s="30">
        <v>45399</v>
      </c>
      <c r="K149" s="26" t="s">
        <v>546</v>
      </c>
      <c r="L149" s="26" t="s">
        <v>354</v>
      </c>
      <c r="M149" s="30">
        <v>45399</v>
      </c>
      <c r="N149" s="26" t="s">
        <v>354</v>
      </c>
      <c r="O149" s="26" t="s">
        <v>141</v>
      </c>
      <c r="P149" s="31">
        <v>15</v>
      </c>
      <c r="Q149" s="31"/>
      <c r="R149" s="26" t="s">
        <v>547</v>
      </c>
      <c r="S149" s="26" t="s">
        <v>548</v>
      </c>
      <c r="T149" s="31" t="s">
        <v>549</v>
      </c>
      <c r="U149" s="26" t="s">
        <v>550</v>
      </c>
      <c r="V149" s="26">
        <f t="shared" si="12"/>
        <v>1</v>
      </c>
      <c r="W149" s="26">
        <f t="shared" si="16"/>
        <v>1</v>
      </c>
      <c r="X149" s="26">
        <f>Data_Base[[#This Row],[B.N Total]]-Data_Base[[#This Row],[Nbre Brachements exécuté]]</f>
        <v>0</v>
      </c>
      <c r="Y149" s="26" t="str">
        <f t="shared" si="13"/>
        <v>lundi</v>
      </c>
      <c r="Z149" s="26" t="str">
        <f t="shared" si="14"/>
        <v>15</v>
      </c>
      <c r="AA149" s="26" t="str">
        <f t="shared" si="17"/>
        <v>04</v>
      </c>
      <c r="AB149" s="26" t="str">
        <f t="shared" si="15"/>
        <v>2024</v>
      </c>
    </row>
    <row r="150" spans="1:28" x14ac:dyDescent="0.25">
      <c r="A150" s="30">
        <v>45397</v>
      </c>
      <c r="B150" s="26" t="s">
        <v>121</v>
      </c>
      <c r="C150" s="26" t="s">
        <v>2</v>
      </c>
      <c r="D150" s="26" t="s">
        <v>100</v>
      </c>
      <c r="E150" s="26" t="s">
        <v>142</v>
      </c>
      <c r="F150" s="28" t="s">
        <v>361</v>
      </c>
      <c r="G150" s="26" t="s">
        <v>164</v>
      </c>
      <c r="H150" s="26" t="s">
        <v>221</v>
      </c>
      <c r="I150" s="26" t="s">
        <v>164</v>
      </c>
      <c r="J150" s="30">
        <v>45399</v>
      </c>
      <c r="K150" s="26" t="s">
        <v>546</v>
      </c>
      <c r="L150" s="26" t="s">
        <v>360</v>
      </c>
      <c r="M150" s="30">
        <v>45399</v>
      </c>
      <c r="N150" s="26" t="s">
        <v>360</v>
      </c>
      <c r="O150" s="26" t="s">
        <v>141</v>
      </c>
      <c r="P150" s="31">
        <v>15</v>
      </c>
      <c r="Q150" s="31"/>
      <c r="R150" s="26" t="s">
        <v>547</v>
      </c>
      <c r="S150" s="26" t="s">
        <v>548</v>
      </c>
      <c r="T150" s="31" t="s">
        <v>549</v>
      </c>
      <c r="U150" s="26" t="s">
        <v>550</v>
      </c>
      <c r="V150" s="26">
        <f t="shared" si="12"/>
        <v>1</v>
      </c>
      <c r="W150" s="26">
        <f t="shared" si="16"/>
        <v>1</v>
      </c>
      <c r="X150" s="26">
        <f>Data_Base[[#This Row],[B.N Total]]-Data_Base[[#This Row],[Nbre Brachements exécuté]]</f>
        <v>0</v>
      </c>
      <c r="Y150" s="26" t="str">
        <f t="shared" si="13"/>
        <v>lundi</v>
      </c>
      <c r="Z150" s="26" t="str">
        <f t="shared" si="14"/>
        <v>15</v>
      </c>
      <c r="AA150" s="26" t="str">
        <f t="shared" si="17"/>
        <v>04</v>
      </c>
      <c r="AB150" s="26" t="str">
        <f t="shared" si="15"/>
        <v>2024</v>
      </c>
    </row>
    <row r="151" spans="1:28" x14ac:dyDescent="0.25">
      <c r="A151" s="30">
        <v>45397</v>
      </c>
      <c r="B151" s="26" t="s">
        <v>120</v>
      </c>
      <c r="C151" s="26" t="s">
        <v>2</v>
      </c>
      <c r="D151" s="26" t="s">
        <v>101</v>
      </c>
      <c r="E151" s="26" t="s">
        <v>142</v>
      </c>
      <c r="F151" s="28" t="s">
        <v>357</v>
      </c>
      <c r="G151" s="26" t="s">
        <v>164</v>
      </c>
      <c r="H151" s="26" t="s">
        <v>221</v>
      </c>
      <c r="I151" s="26" t="s">
        <v>164</v>
      </c>
      <c r="J151" s="30">
        <v>45399</v>
      </c>
      <c r="K151" s="26" t="s">
        <v>546</v>
      </c>
      <c r="L151" s="26" t="s">
        <v>356</v>
      </c>
      <c r="M151" s="30">
        <v>45399</v>
      </c>
      <c r="N151" s="26" t="s">
        <v>356</v>
      </c>
      <c r="O151" s="26" t="s">
        <v>141</v>
      </c>
      <c r="P151" s="31">
        <v>15</v>
      </c>
      <c r="Q151" s="31"/>
      <c r="R151" s="26" t="s">
        <v>547</v>
      </c>
      <c r="S151" s="26" t="s">
        <v>548</v>
      </c>
      <c r="T151" s="31" t="s">
        <v>549</v>
      </c>
      <c r="U151" s="26" t="s">
        <v>550</v>
      </c>
      <c r="V151" s="26">
        <f t="shared" si="12"/>
        <v>1</v>
      </c>
      <c r="W151" s="26">
        <f t="shared" si="16"/>
        <v>1</v>
      </c>
      <c r="X151" s="26">
        <f>Data_Base[[#This Row],[B.N Total]]-Data_Base[[#This Row],[Nbre Brachements exécuté]]</f>
        <v>0</v>
      </c>
      <c r="Y151" s="26" t="str">
        <f t="shared" si="13"/>
        <v>lundi</v>
      </c>
      <c r="Z151" s="26" t="str">
        <f t="shared" si="14"/>
        <v>15</v>
      </c>
      <c r="AA151" s="26" t="str">
        <f t="shared" si="17"/>
        <v>04</v>
      </c>
      <c r="AB151" s="26" t="str">
        <f t="shared" si="15"/>
        <v>2024</v>
      </c>
    </row>
    <row r="152" spans="1:28" x14ac:dyDescent="0.25">
      <c r="A152" s="30">
        <v>45397</v>
      </c>
      <c r="B152" s="26" t="s">
        <v>119</v>
      </c>
      <c r="C152" s="26" t="s">
        <v>66</v>
      </c>
      <c r="D152" s="26" t="s">
        <v>102</v>
      </c>
      <c r="E152" s="26"/>
      <c r="G152" s="26"/>
      <c r="H152" s="26"/>
      <c r="I152" s="26"/>
      <c r="J152" s="30"/>
      <c r="K152" s="26"/>
      <c r="M152" s="30"/>
      <c r="O152" s="26"/>
      <c r="P152" s="31"/>
      <c r="Q152" s="31"/>
      <c r="R152" s="26"/>
      <c r="S152" s="26"/>
      <c r="T152" s="31"/>
      <c r="U152" s="26"/>
      <c r="V152" s="26">
        <f t="shared" si="12"/>
        <v>1</v>
      </c>
      <c r="W152" s="26">
        <f t="shared" si="16"/>
        <v>0</v>
      </c>
      <c r="X152" s="26">
        <f>Data_Base[[#This Row],[B.N Total]]-Data_Base[[#This Row],[Nbre Brachements exécuté]]</f>
        <v>1</v>
      </c>
      <c r="Y152" s="26" t="str">
        <f t="shared" si="13"/>
        <v>lundi</v>
      </c>
      <c r="Z152" s="26" t="str">
        <f t="shared" si="14"/>
        <v>15</v>
      </c>
      <c r="AA152" s="26" t="str">
        <f t="shared" si="17"/>
        <v>04</v>
      </c>
      <c r="AB152" s="26" t="str">
        <f t="shared" si="15"/>
        <v>2024</v>
      </c>
    </row>
    <row r="153" spans="1:28" x14ac:dyDescent="0.25">
      <c r="A153" s="30">
        <v>45397</v>
      </c>
      <c r="B153" s="26" t="s">
        <v>119</v>
      </c>
      <c r="C153" s="26" t="s">
        <v>66</v>
      </c>
      <c r="D153" s="26" t="s">
        <v>103</v>
      </c>
      <c r="E153" s="26"/>
      <c r="G153" s="26"/>
      <c r="H153" s="26"/>
      <c r="I153" s="26"/>
      <c r="J153" s="30"/>
      <c r="K153" s="26"/>
      <c r="M153" s="30"/>
      <c r="O153" s="26"/>
      <c r="P153" s="31"/>
      <c r="Q153" s="31"/>
      <c r="R153" s="26"/>
      <c r="S153" s="26"/>
      <c r="T153" s="31"/>
      <c r="U153" s="26"/>
      <c r="V153" s="26">
        <f t="shared" si="12"/>
        <v>1</v>
      </c>
      <c r="W153" s="26">
        <f t="shared" si="16"/>
        <v>0</v>
      </c>
      <c r="X153" s="26">
        <f>Data_Base[[#This Row],[B.N Total]]-Data_Base[[#This Row],[Nbre Brachements exécuté]]</f>
        <v>1</v>
      </c>
      <c r="Y153" s="26" t="str">
        <f t="shared" si="13"/>
        <v>lundi</v>
      </c>
      <c r="Z153" s="26" t="str">
        <f t="shared" si="14"/>
        <v>15</v>
      </c>
      <c r="AA153" s="26" t="str">
        <f t="shared" si="17"/>
        <v>04</v>
      </c>
      <c r="AB153" s="26" t="str">
        <f t="shared" si="15"/>
        <v>2024</v>
      </c>
    </row>
    <row r="154" spans="1:28" x14ac:dyDescent="0.25">
      <c r="A154" s="30">
        <v>45397</v>
      </c>
      <c r="B154" s="26" t="s">
        <v>118</v>
      </c>
      <c r="C154" s="26" t="s">
        <v>66</v>
      </c>
      <c r="D154" s="26" t="s">
        <v>104</v>
      </c>
      <c r="E154" s="26"/>
      <c r="G154" s="26"/>
      <c r="H154" s="26"/>
      <c r="I154" s="26"/>
      <c r="J154" s="30"/>
      <c r="K154" s="26"/>
      <c r="M154" s="30"/>
      <c r="O154" s="26"/>
      <c r="P154" s="31"/>
      <c r="Q154" s="31"/>
      <c r="R154" s="26"/>
      <c r="S154" s="26"/>
      <c r="T154" s="31"/>
      <c r="U154" s="26"/>
      <c r="V154" s="26">
        <f t="shared" si="12"/>
        <v>1</v>
      </c>
      <c r="W154" s="26">
        <f t="shared" si="16"/>
        <v>0</v>
      </c>
      <c r="X154" s="26">
        <f>Data_Base[[#This Row],[B.N Total]]-Data_Base[[#This Row],[Nbre Brachements exécuté]]</f>
        <v>1</v>
      </c>
      <c r="Y154" s="26" t="str">
        <f t="shared" si="13"/>
        <v>lundi</v>
      </c>
      <c r="Z154" s="26" t="str">
        <f t="shared" si="14"/>
        <v>15</v>
      </c>
      <c r="AA154" s="26" t="str">
        <f t="shared" si="17"/>
        <v>04</v>
      </c>
      <c r="AB154" s="26" t="str">
        <f t="shared" si="15"/>
        <v>2024</v>
      </c>
    </row>
    <row r="155" spans="1:28" x14ac:dyDescent="0.25">
      <c r="A155" s="30">
        <v>45397</v>
      </c>
      <c r="B155" s="26" t="s">
        <v>117</v>
      </c>
      <c r="C155" s="26" t="s">
        <v>66</v>
      </c>
      <c r="D155" s="26" t="s">
        <v>105</v>
      </c>
      <c r="E155" s="26" t="s">
        <v>142</v>
      </c>
      <c r="F155" s="28" t="s">
        <v>314</v>
      </c>
      <c r="G155" s="26" t="s">
        <v>160</v>
      </c>
      <c r="H155" s="26" t="s">
        <v>325</v>
      </c>
      <c r="I155" s="26" t="s">
        <v>160</v>
      </c>
      <c r="J155" s="30">
        <v>45399</v>
      </c>
      <c r="K155" s="26" t="s">
        <v>546</v>
      </c>
      <c r="L155" s="26" t="s">
        <v>313</v>
      </c>
      <c r="M155" s="30">
        <v>45399</v>
      </c>
      <c r="N155" s="26" t="s">
        <v>313</v>
      </c>
      <c r="O155" s="26" t="s">
        <v>141</v>
      </c>
      <c r="P155" s="31">
        <v>30</v>
      </c>
      <c r="Q155" s="31"/>
      <c r="R155" s="26" t="s">
        <v>547</v>
      </c>
      <c r="S155" s="26" t="s">
        <v>548</v>
      </c>
      <c r="T155" s="31" t="s">
        <v>549</v>
      </c>
      <c r="U155" s="26" t="s">
        <v>550</v>
      </c>
      <c r="V155" s="26">
        <f t="shared" si="12"/>
        <v>1</v>
      </c>
      <c r="W155" s="26">
        <f t="shared" si="16"/>
        <v>1</v>
      </c>
      <c r="X155" s="26">
        <f>Data_Base[[#This Row],[B.N Total]]-Data_Base[[#This Row],[Nbre Brachements exécuté]]</f>
        <v>0</v>
      </c>
      <c r="Y155" s="26" t="str">
        <f t="shared" si="13"/>
        <v>lundi</v>
      </c>
      <c r="Z155" s="26" t="str">
        <f t="shared" si="14"/>
        <v>15</v>
      </c>
      <c r="AA155" s="26" t="str">
        <f t="shared" si="17"/>
        <v>04</v>
      </c>
      <c r="AB155" s="26" t="str">
        <f t="shared" si="15"/>
        <v>2024</v>
      </c>
    </row>
    <row r="156" spans="1:28" x14ac:dyDescent="0.25">
      <c r="A156" s="30">
        <v>45397</v>
      </c>
      <c r="B156" s="26" t="s">
        <v>116</v>
      </c>
      <c r="C156" s="26" t="s">
        <v>66</v>
      </c>
      <c r="D156" s="26" t="s">
        <v>106</v>
      </c>
      <c r="E156" s="26"/>
      <c r="G156" s="26"/>
      <c r="H156" s="26"/>
      <c r="I156" s="26"/>
      <c r="J156" s="30"/>
      <c r="K156" s="26"/>
      <c r="M156" s="30"/>
      <c r="O156" s="26"/>
      <c r="P156" s="31"/>
      <c r="Q156" s="31"/>
      <c r="R156" s="26"/>
      <c r="S156" s="26"/>
      <c r="T156" s="31"/>
      <c r="U156" s="26"/>
      <c r="V156" s="26">
        <f t="shared" si="12"/>
        <v>1</v>
      </c>
      <c r="W156" s="26">
        <f t="shared" si="16"/>
        <v>0</v>
      </c>
      <c r="X156" s="26">
        <f>Data_Base[[#This Row],[B.N Total]]-Data_Base[[#This Row],[Nbre Brachements exécuté]]</f>
        <v>1</v>
      </c>
      <c r="Y156" s="26" t="str">
        <f t="shared" si="13"/>
        <v>lundi</v>
      </c>
      <c r="Z156" s="26" t="str">
        <f t="shared" si="14"/>
        <v>15</v>
      </c>
      <c r="AA156" s="26" t="str">
        <f t="shared" si="17"/>
        <v>04</v>
      </c>
      <c r="AB156" s="26" t="str">
        <f t="shared" si="15"/>
        <v>2024</v>
      </c>
    </row>
    <row r="157" spans="1:28" x14ac:dyDescent="0.25">
      <c r="A157" s="30">
        <v>45397</v>
      </c>
      <c r="B157" s="26" t="s">
        <v>115</v>
      </c>
      <c r="C157" s="26" t="s">
        <v>66</v>
      </c>
      <c r="D157" s="26" t="s">
        <v>107</v>
      </c>
      <c r="E157" s="26"/>
      <c r="G157" s="26"/>
      <c r="H157" s="26"/>
      <c r="I157" s="26"/>
      <c r="J157" s="30"/>
      <c r="K157" s="26"/>
      <c r="M157" s="30"/>
      <c r="O157" s="26"/>
      <c r="P157" s="31"/>
      <c r="Q157" s="31"/>
      <c r="R157" s="26"/>
      <c r="S157" s="26"/>
      <c r="T157" s="31"/>
      <c r="U157" s="26"/>
      <c r="V157" s="26">
        <f t="shared" si="12"/>
        <v>1</v>
      </c>
      <c r="W157" s="26">
        <f t="shared" si="16"/>
        <v>0</v>
      </c>
      <c r="X157" s="26">
        <f>Data_Base[[#This Row],[B.N Total]]-Data_Base[[#This Row],[Nbre Brachements exécuté]]</f>
        <v>1</v>
      </c>
      <c r="Y157" s="26" t="str">
        <f t="shared" si="13"/>
        <v>lundi</v>
      </c>
      <c r="Z157" s="26" t="str">
        <f t="shared" si="14"/>
        <v>15</v>
      </c>
      <c r="AA157" s="26" t="str">
        <f t="shared" si="17"/>
        <v>04</v>
      </c>
      <c r="AB157" s="26" t="str">
        <f t="shared" si="15"/>
        <v>2024</v>
      </c>
    </row>
    <row r="158" spans="1:28" x14ac:dyDescent="0.25">
      <c r="A158" s="30">
        <v>45397</v>
      </c>
      <c r="B158" s="26" t="s">
        <v>114</v>
      </c>
      <c r="C158" s="26" t="s">
        <v>66</v>
      </c>
      <c r="D158" s="26" t="s">
        <v>108</v>
      </c>
      <c r="E158" s="26"/>
      <c r="G158" s="26"/>
      <c r="H158" s="26"/>
      <c r="I158" s="26"/>
      <c r="J158" s="30"/>
      <c r="K158" s="26"/>
      <c r="M158" s="30"/>
      <c r="O158" s="26"/>
      <c r="P158" s="31"/>
      <c r="Q158" s="31"/>
      <c r="R158" s="26"/>
      <c r="S158" s="26"/>
      <c r="T158" s="31"/>
      <c r="U158" s="26"/>
      <c r="V158" s="26">
        <f t="shared" si="12"/>
        <v>1</v>
      </c>
      <c r="W158" s="26">
        <f t="shared" si="16"/>
        <v>0</v>
      </c>
      <c r="X158" s="26">
        <f>Data_Base[[#This Row],[B.N Total]]-Data_Base[[#This Row],[Nbre Brachements exécuté]]</f>
        <v>1</v>
      </c>
      <c r="Y158" s="26" t="str">
        <f t="shared" si="13"/>
        <v>lundi</v>
      </c>
      <c r="Z158" s="26" t="str">
        <f t="shared" si="14"/>
        <v>15</v>
      </c>
      <c r="AA158" s="26" t="str">
        <f t="shared" si="17"/>
        <v>04</v>
      </c>
      <c r="AB158" s="26" t="str">
        <f t="shared" si="15"/>
        <v>2024</v>
      </c>
    </row>
    <row r="159" spans="1:28" x14ac:dyDescent="0.25">
      <c r="A159" s="30">
        <v>45397</v>
      </c>
      <c r="B159" s="26" t="s">
        <v>613</v>
      </c>
      <c r="C159" s="26" t="s">
        <v>66</v>
      </c>
      <c r="D159" s="26" t="s">
        <v>109</v>
      </c>
      <c r="E159" s="26"/>
      <c r="G159" s="26"/>
      <c r="H159" s="26"/>
      <c r="I159" s="26"/>
      <c r="J159" s="30"/>
      <c r="K159" s="26"/>
      <c r="M159" s="30"/>
      <c r="O159" s="26"/>
      <c r="P159" s="31"/>
      <c r="Q159" s="31"/>
      <c r="R159" s="26"/>
      <c r="S159" s="26"/>
      <c r="T159" s="31"/>
      <c r="U159" s="26"/>
      <c r="V159" s="26">
        <f t="shared" si="12"/>
        <v>1</v>
      </c>
      <c r="W159" s="26">
        <f t="shared" si="16"/>
        <v>0</v>
      </c>
      <c r="X159" s="26">
        <f>Data_Base[[#This Row],[B.N Total]]-Data_Base[[#This Row],[Nbre Brachements exécuté]]</f>
        <v>1</v>
      </c>
      <c r="Y159" s="26" t="str">
        <f t="shared" si="13"/>
        <v>lundi</v>
      </c>
      <c r="Z159" s="26" t="str">
        <f t="shared" si="14"/>
        <v>15</v>
      </c>
      <c r="AA159" s="26" t="str">
        <f t="shared" si="17"/>
        <v>04</v>
      </c>
      <c r="AB159" s="26" t="str">
        <f t="shared" si="15"/>
        <v>2024</v>
      </c>
    </row>
    <row r="160" spans="1:28" x14ac:dyDescent="0.25">
      <c r="A160" s="30">
        <v>45397</v>
      </c>
      <c r="B160" s="26" t="s">
        <v>113</v>
      </c>
      <c r="C160" s="26" t="s">
        <v>66</v>
      </c>
      <c r="D160" s="26" t="s">
        <v>112</v>
      </c>
      <c r="E160" s="26"/>
      <c r="G160" s="26"/>
      <c r="H160" s="26"/>
      <c r="I160" s="26"/>
      <c r="J160" s="30"/>
      <c r="K160" s="26"/>
      <c r="M160" s="30"/>
      <c r="O160" s="26"/>
      <c r="P160" s="31"/>
      <c r="Q160" s="31"/>
      <c r="R160" s="26"/>
      <c r="S160" s="26"/>
      <c r="T160" s="31"/>
      <c r="U160" s="26"/>
      <c r="V160" s="26">
        <f t="shared" si="12"/>
        <v>1</v>
      </c>
      <c r="W160" s="26">
        <f t="shared" si="16"/>
        <v>0</v>
      </c>
      <c r="X160" s="26">
        <f>Data_Base[[#This Row],[B.N Total]]-Data_Base[[#This Row],[Nbre Brachements exécuté]]</f>
        <v>1</v>
      </c>
      <c r="Y160" s="26" t="str">
        <f t="shared" si="13"/>
        <v>lundi</v>
      </c>
      <c r="Z160" s="26" t="str">
        <f t="shared" si="14"/>
        <v>15</v>
      </c>
      <c r="AA160" s="26" t="str">
        <f t="shared" si="17"/>
        <v>04</v>
      </c>
      <c r="AB160" s="26" t="str">
        <f t="shared" si="15"/>
        <v>2024</v>
      </c>
    </row>
    <row r="161" spans="1:28" x14ac:dyDescent="0.25">
      <c r="A161" s="30">
        <v>45397</v>
      </c>
      <c r="B161" s="26" t="s">
        <v>111</v>
      </c>
      <c r="C161" s="26" t="s">
        <v>66</v>
      </c>
      <c r="D161" s="26" t="s">
        <v>110</v>
      </c>
      <c r="E161" s="26"/>
      <c r="G161" s="26"/>
      <c r="H161" s="26"/>
      <c r="I161" s="26"/>
      <c r="J161" s="30"/>
      <c r="K161" s="26"/>
      <c r="M161" s="30"/>
      <c r="O161" s="26"/>
      <c r="P161" s="31"/>
      <c r="Q161" s="31"/>
      <c r="R161" s="26"/>
      <c r="S161" s="26"/>
      <c r="T161" s="31"/>
      <c r="U161" s="26"/>
      <c r="V161" s="26">
        <f t="shared" si="12"/>
        <v>1</v>
      </c>
      <c r="W161" s="26">
        <f t="shared" si="16"/>
        <v>0</v>
      </c>
      <c r="X161" s="26">
        <f>Data_Base[[#This Row],[B.N Total]]-Data_Base[[#This Row],[Nbre Brachements exécuté]]</f>
        <v>1</v>
      </c>
      <c r="Y161" s="26" t="str">
        <f t="shared" si="13"/>
        <v>lundi</v>
      </c>
      <c r="Z161" s="26" t="str">
        <f t="shared" si="14"/>
        <v>15</v>
      </c>
      <c r="AA161" s="26" t="str">
        <f t="shared" si="17"/>
        <v>04</v>
      </c>
      <c r="AB161" s="26" t="str">
        <f t="shared" si="15"/>
        <v>2024</v>
      </c>
    </row>
    <row r="162" spans="1:28" x14ac:dyDescent="0.25">
      <c r="A162" s="30">
        <v>45397</v>
      </c>
      <c r="B162" s="26" t="s">
        <v>136</v>
      </c>
      <c r="C162" s="26" t="s">
        <v>66</v>
      </c>
      <c r="D162" s="26" t="s">
        <v>137</v>
      </c>
      <c r="E162" s="26"/>
      <c r="G162" s="26"/>
      <c r="H162" s="26"/>
      <c r="I162" s="26"/>
      <c r="J162" s="30"/>
      <c r="K162" s="26"/>
      <c r="M162" s="30"/>
      <c r="O162" s="26"/>
      <c r="P162" s="31"/>
      <c r="Q162" s="31"/>
      <c r="R162" s="26"/>
      <c r="S162" s="26"/>
      <c r="T162" s="31"/>
      <c r="U162" s="26"/>
      <c r="V162" s="26">
        <f t="shared" si="12"/>
        <v>1</v>
      </c>
      <c r="W162" s="26">
        <f t="shared" si="16"/>
        <v>0</v>
      </c>
      <c r="X162" s="26">
        <f>Data_Base[[#This Row],[B.N Total]]-Data_Base[[#This Row],[Nbre Brachements exécuté]]</f>
        <v>1</v>
      </c>
      <c r="Y162" s="26" t="str">
        <f t="shared" si="13"/>
        <v>lundi</v>
      </c>
      <c r="Z162" s="26" t="str">
        <f t="shared" si="14"/>
        <v>15</v>
      </c>
      <c r="AA162" s="26" t="str">
        <f t="shared" si="17"/>
        <v>04</v>
      </c>
      <c r="AB162" s="26" t="str">
        <f t="shared" si="15"/>
        <v>2024</v>
      </c>
    </row>
    <row r="163" spans="1:28" x14ac:dyDescent="0.25">
      <c r="A163" s="30">
        <v>45397</v>
      </c>
      <c r="B163" s="26" t="s">
        <v>138</v>
      </c>
      <c r="C163" s="26" t="s">
        <v>2</v>
      </c>
      <c r="D163" s="26" t="s">
        <v>139</v>
      </c>
      <c r="E163" s="26" t="s">
        <v>142</v>
      </c>
      <c r="F163" s="28" t="s">
        <v>322</v>
      </c>
      <c r="G163" s="26" t="s">
        <v>160</v>
      </c>
      <c r="H163" s="26" t="s">
        <v>325</v>
      </c>
      <c r="I163" s="26" t="s">
        <v>160</v>
      </c>
      <c r="J163" s="30">
        <v>45399</v>
      </c>
      <c r="K163" s="26" t="s">
        <v>546</v>
      </c>
      <c r="L163" s="26" t="s">
        <v>321</v>
      </c>
      <c r="M163" s="30">
        <v>45399</v>
      </c>
      <c r="N163" s="26" t="s">
        <v>321</v>
      </c>
      <c r="O163" s="26" t="s">
        <v>141</v>
      </c>
      <c r="P163" s="31">
        <v>30</v>
      </c>
      <c r="Q163" s="31"/>
      <c r="R163" s="26" t="s">
        <v>547</v>
      </c>
      <c r="S163" s="26" t="s">
        <v>548</v>
      </c>
      <c r="T163" s="31" t="s">
        <v>549</v>
      </c>
      <c r="U163" s="26" t="s">
        <v>550</v>
      </c>
      <c r="V163" s="26">
        <f t="shared" si="12"/>
        <v>1</v>
      </c>
      <c r="W163" s="26">
        <f t="shared" si="16"/>
        <v>1</v>
      </c>
      <c r="X163" s="26">
        <f>Data_Base[[#This Row],[B.N Total]]-Data_Base[[#This Row],[Nbre Brachements exécuté]]</f>
        <v>0</v>
      </c>
      <c r="Y163" s="26" t="str">
        <f t="shared" si="13"/>
        <v>lundi</v>
      </c>
      <c r="Z163" s="26" t="str">
        <f t="shared" si="14"/>
        <v>15</v>
      </c>
      <c r="AA163" s="26" t="str">
        <f t="shared" si="17"/>
        <v>04</v>
      </c>
      <c r="AB163" s="26" t="str">
        <f t="shared" si="15"/>
        <v>2024</v>
      </c>
    </row>
    <row r="164" spans="1:28" x14ac:dyDescent="0.25">
      <c r="A164" s="30">
        <v>45397</v>
      </c>
      <c r="B164" s="26" t="s">
        <v>159</v>
      </c>
      <c r="C164" s="26" t="s">
        <v>2</v>
      </c>
      <c r="D164" s="26" t="s">
        <v>6</v>
      </c>
      <c r="E164" s="26"/>
      <c r="G164" s="26"/>
      <c r="H164" s="26"/>
      <c r="I164" s="26"/>
      <c r="J164" s="30"/>
      <c r="K164" s="26"/>
      <c r="M164" s="30"/>
      <c r="O164" s="26"/>
      <c r="P164" s="31"/>
      <c r="Q164" s="31"/>
      <c r="R164" s="26"/>
      <c r="S164" s="26"/>
      <c r="T164" s="31"/>
      <c r="U164" s="26"/>
      <c r="V164" s="26">
        <f t="shared" si="12"/>
        <v>1</v>
      </c>
      <c r="W164" s="26">
        <f t="shared" si="16"/>
        <v>0</v>
      </c>
      <c r="X164" s="26">
        <f>Data_Base[[#This Row],[B.N Total]]-Data_Base[[#This Row],[Nbre Brachements exécuté]]</f>
        <v>1</v>
      </c>
      <c r="Y164" s="26" t="str">
        <f t="shared" si="13"/>
        <v>lundi</v>
      </c>
      <c r="Z164" s="26" t="str">
        <f t="shared" si="14"/>
        <v>15</v>
      </c>
      <c r="AA164" s="26" t="str">
        <f t="shared" si="17"/>
        <v>04</v>
      </c>
      <c r="AB164" s="26" t="str">
        <f t="shared" si="15"/>
        <v>2024</v>
      </c>
    </row>
    <row r="165" spans="1:28" x14ac:dyDescent="0.25">
      <c r="A165" s="30">
        <v>45397</v>
      </c>
      <c r="B165" s="26" t="s">
        <v>162</v>
      </c>
      <c r="C165" s="26" t="s">
        <v>2</v>
      </c>
      <c r="D165" s="26" t="s">
        <v>163</v>
      </c>
      <c r="E165" s="26" t="s">
        <v>142</v>
      </c>
      <c r="F165" s="28" t="s">
        <v>330</v>
      </c>
      <c r="G165" s="26" t="s">
        <v>164</v>
      </c>
      <c r="H165" s="26" t="s">
        <v>328</v>
      </c>
      <c r="I165" s="26" t="s">
        <v>164</v>
      </c>
      <c r="J165" s="30">
        <v>45399</v>
      </c>
      <c r="K165" s="26" t="s">
        <v>546</v>
      </c>
      <c r="L165" s="26" t="s">
        <v>329</v>
      </c>
      <c r="M165" s="30">
        <v>45399</v>
      </c>
      <c r="N165" s="26" t="s">
        <v>329</v>
      </c>
      <c r="O165" s="26" t="s">
        <v>141</v>
      </c>
      <c r="P165" s="31">
        <v>30</v>
      </c>
      <c r="Q165" s="31"/>
      <c r="R165" s="26" t="s">
        <v>547</v>
      </c>
      <c r="S165" s="26" t="s">
        <v>548</v>
      </c>
      <c r="T165" s="31" t="s">
        <v>549</v>
      </c>
      <c r="U165" s="26" t="s">
        <v>550</v>
      </c>
      <c r="V165" s="26">
        <f t="shared" si="12"/>
        <v>1</v>
      </c>
      <c r="W165" s="26">
        <f t="shared" si="16"/>
        <v>1</v>
      </c>
      <c r="X165" s="26">
        <f>Data_Base[[#This Row],[B.N Total]]-Data_Base[[#This Row],[Nbre Brachements exécuté]]</f>
        <v>0</v>
      </c>
      <c r="Y165" s="26" t="str">
        <f t="shared" si="13"/>
        <v>lundi</v>
      </c>
      <c r="Z165" s="26" t="str">
        <f t="shared" si="14"/>
        <v>15</v>
      </c>
      <c r="AA165" s="26" t="str">
        <f t="shared" si="17"/>
        <v>04</v>
      </c>
      <c r="AB165" s="26" t="str">
        <f t="shared" si="15"/>
        <v>2024</v>
      </c>
    </row>
    <row r="166" spans="1:28" x14ac:dyDescent="0.25">
      <c r="A166" s="30">
        <v>45397</v>
      </c>
      <c r="B166" s="26" t="s">
        <v>166</v>
      </c>
      <c r="C166" s="26" t="s">
        <v>2</v>
      </c>
      <c r="D166" s="26" t="s">
        <v>167</v>
      </c>
      <c r="E166" s="26" t="s">
        <v>142</v>
      </c>
      <c r="F166" s="28" t="s">
        <v>169</v>
      </c>
      <c r="G166" s="26" t="s">
        <v>164</v>
      </c>
      <c r="H166" s="26" t="s">
        <v>170</v>
      </c>
      <c r="I166" s="26" t="s">
        <v>164</v>
      </c>
      <c r="J166" s="30">
        <v>45399</v>
      </c>
      <c r="K166" s="26" t="s">
        <v>546</v>
      </c>
      <c r="L166" s="26" t="s">
        <v>168</v>
      </c>
      <c r="M166" s="30">
        <v>45399</v>
      </c>
      <c r="N166" s="26" t="s">
        <v>168</v>
      </c>
      <c r="O166" s="26" t="s">
        <v>141</v>
      </c>
      <c r="P166" s="31">
        <v>15</v>
      </c>
      <c r="Q166" s="31"/>
      <c r="R166" s="26" t="s">
        <v>547</v>
      </c>
      <c r="S166" s="26" t="s">
        <v>548</v>
      </c>
      <c r="T166" s="31" t="s">
        <v>549</v>
      </c>
      <c r="U166" s="26" t="s">
        <v>550</v>
      </c>
      <c r="V166" s="26">
        <f t="shared" si="12"/>
        <v>1</v>
      </c>
      <c r="W166" s="26">
        <f t="shared" si="16"/>
        <v>1</v>
      </c>
      <c r="X166" s="26">
        <f>Data_Base[[#This Row],[B.N Total]]-Data_Base[[#This Row],[Nbre Brachements exécuté]]</f>
        <v>0</v>
      </c>
      <c r="Y166" s="26" t="str">
        <f t="shared" si="13"/>
        <v>lundi</v>
      </c>
      <c r="Z166" s="26" t="str">
        <f t="shared" si="14"/>
        <v>15</v>
      </c>
      <c r="AA166" s="26" t="str">
        <f t="shared" si="17"/>
        <v>04</v>
      </c>
      <c r="AB166" s="26" t="str">
        <f t="shared" si="15"/>
        <v>2024</v>
      </c>
    </row>
    <row r="167" spans="1:28" x14ac:dyDescent="0.25">
      <c r="A167" s="30">
        <v>45397</v>
      </c>
      <c r="B167" s="26" t="s">
        <v>8</v>
      </c>
      <c r="C167" s="26" t="s">
        <v>2</v>
      </c>
      <c r="D167" s="26" t="s">
        <v>171</v>
      </c>
      <c r="E167" s="26" t="s">
        <v>142</v>
      </c>
      <c r="F167" s="28" t="s">
        <v>173</v>
      </c>
      <c r="G167" s="26" t="s">
        <v>164</v>
      </c>
      <c r="H167" s="26" t="s">
        <v>165</v>
      </c>
      <c r="I167" s="26" t="s">
        <v>164</v>
      </c>
      <c r="J167" s="30">
        <v>45399</v>
      </c>
      <c r="K167" s="26" t="s">
        <v>546</v>
      </c>
      <c r="L167" s="26" t="s">
        <v>172</v>
      </c>
      <c r="M167" s="30">
        <v>45399</v>
      </c>
      <c r="N167" s="26" t="s">
        <v>172</v>
      </c>
      <c r="O167" s="26" t="s">
        <v>141</v>
      </c>
      <c r="P167" s="31">
        <v>15</v>
      </c>
      <c r="Q167" s="31"/>
      <c r="R167" s="26" t="s">
        <v>547</v>
      </c>
      <c r="S167" s="26" t="s">
        <v>548</v>
      </c>
      <c r="T167" s="31" t="s">
        <v>549</v>
      </c>
      <c r="U167" s="26" t="s">
        <v>550</v>
      </c>
      <c r="V167" s="26">
        <f t="shared" si="12"/>
        <v>1</v>
      </c>
      <c r="W167" s="26">
        <f t="shared" si="16"/>
        <v>1</v>
      </c>
      <c r="X167" s="26">
        <f>Data_Base[[#This Row],[B.N Total]]-Data_Base[[#This Row],[Nbre Brachements exécuté]]</f>
        <v>0</v>
      </c>
      <c r="Y167" s="26" t="str">
        <f t="shared" si="13"/>
        <v>lundi</v>
      </c>
      <c r="Z167" s="26" t="str">
        <f t="shared" si="14"/>
        <v>15</v>
      </c>
      <c r="AA167" s="26" t="str">
        <f t="shared" si="17"/>
        <v>04</v>
      </c>
      <c r="AB167" s="26" t="str">
        <f t="shared" si="15"/>
        <v>2024</v>
      </c>
    </row>
    <row r="168" spans="1:28" x14ac:dyDescent="0.25">
      <c r="A168" s="30">
        <v>45397</v>
      </c>
      <c r="B168" s="26" t="s">
        <v>174</v>
      </c>
      <c r="C168" s="26" t="s">
        <v>3</v>
      </c>
      <c r="D168" s="26" t="s">
        <v>175</v>
      </c>
      <c r="E168" s="26" t="s">
        <v>142</v>
      </c>
      <c r="G168" s="26" t="s">
        <v>160</v>
      </c>
      <c r="H168" s="26" t="s">
        <v>177</v>
      </c>
      <c r="I168" s="26" t="s">
        <v>160</v>
      </c>
      <c r="J168" s="30">
        <v>45399</v>
      </c>
      <c r="K168" s="26" t="s">
        <v>546</v>
      </c>
      <c r="L168" s="26" t="s">
        <v>176</v>
      </c>
      <c r="M168" s="30">
        <v>45399</v>
      </c>
      <c r="N168" s="26" t="s">
        <v>176</v>
      </c>
      <c r="O168" s="26" t="s">
        <v>141</v>
      </c>
      <c r="P168" s="31">
        <v>15</v>
      </c>
      <c r="Q168" s="31"/>
      <c r="R168" s="26" t="s">
        <v>547</v>
      </c>
      <c r="S168" s="26" t="s">
        <v>548</v>
      </c>
      <c r="T168" s="31" t="s">
        <v>549</v>
      </c>
      <c r="U168" s="26" t="s">
        <v>550</v>
      </c>
      <c r="V168" s="26">
        <f t="shared" si="12"/>
        <v>1</v>
      </c>
      <c r="W168" s="26">
        <f t="shared" si="16"/>
        <v>1</v>
      </c>
      <c r="X168" s="26">
        <f>Data_Base[[#This Row],[B.N Total]]-Data_Base[[#This Row],[Nbre Brachements exécuté]]</f>
        <v>0</v>
      </c>
      <c r="Y168" s="26" t="str">
        <f t="shared" si="13"/>
        <v>lundi</v>
      </c>
      <c r="Z168" s="26" t="str">
        <f t="shared" si="14"/>
        <v>15</v>
      </c>
      <c r="AA168" s="26" t="str">
        <f t="shared" si="17"/>
        <v>04</v>
      </c>
      <c r="AB168" s="26" t="str">
        <f t="shared" si="15"/>
        <v>2024</v>
      </c>
    </row>
    <row r="169" spans="1:28" x14ac:dyDescent="0.25">
      <c r="A169" s="30">
        <v>45397</v>
      </c>
      <c r="B169" s="26" t="s">
        <v>178</v>
      </c>
      <c r="C169" s="26" t="s">
        <v>66</v>
      </c>
      <c r="D169" s="26" t="s">
        <v>179</v>
      </c>
      <c r="E169" s="26" t="s">
        <v>142</v>
      </c>
      <c r="F169" s="28" t="s">
        <v>181</v>
      </c>
      <c r="G169" s="26" t="s">
        <v>160</v>
      </c>
      <c r="H169" s="26" t="s">
        <v>177</v>
      </c>
      <c r="I169" s="26" t="s">
        <v>160</v>
      </c>
      <c r="J169" s="30">
        <v>45399</v>
      </c>
      <c r="K169" s="26" t="s">
        <v>546</v>
      </c>
      <c r="L169" s="26" t="s">
        <v>180</v>
      </c>
      <c r="M169" s="30">
        <v>45399</v>
      </c>
      <c r="N169" s="26" t="s">
        <v>180</v>
      </c>
      <c r="O169" s="26" t="s">
        <v>141</v>
      </c>
      <c r="P169" s="31">
        <v>15</v>
      </c>
      <c r="Q169" s="31"/>
      <c r="R169" s="26" t="s">
        <v>547</v>
      </c>
      <c r="S169" s="26" t="s">
        <v>548</v>
      </c>
      <c r="T169" s="31" t="s">
        <v>549</v>
      </c>
      <c r="U169" s="26" t="s">
        <v>550</v>
      </c>
      <c r="V169" s="26">
        <f t="shared" si="12"/>
        <v>1</v>
      </c>
      <c r="W169" s="26">
        <f t="shared" si="16"/>
        <v>1</v>
      </c>
      <c r="X169" s="26">
        <f>Data_Base[[#This Row],[B.N Total]]-Data_Base[[#This Row],[Nbre Brachements exécuté]]</f>
        <v>0</v>
      </c>
      <c r="Y169" s="26" t="str">
        <f t="shared" si="13"/>
        <v>lundi</v>
      </c>
      <c r="Z169" s="26" t="str">
        <f t="shared" si="14"/>
        <v>15</v>
      </c>
      <c r="AA169" s="26" t="str">
        <f t="shared" si="17"/>
        <v>04</v>
      </c>
      <c r="AB169" s="26" t="str">
        <f t="shared" si="15"/>
        <v>2024</v>
      </c>
    </row>
    <row r="170" spans="1:28" x14ac:dyDescent="0.25">
      <c r="A170" s="30">
        <v>45397</v>
      </c>
      <c r="B170" s="26" t="s">
        <v>182</v>
      </c>
      <c r="C170" s="26" t="s">
        <v>3</v>
      </c>
      <c r="D170" s="26" t="s">
        <v>183</v>
      </c>
      <c r="E170" s="26" t="s">
        <v>185</v>
      </c>
      <c r="F170" s="28" t="s">
        <v>186</v>
      </c>
      <c r="G170" s="26" t="s">
        <v>160</v>
      </c>
      <c r="H170" s="26" t="s">
        <v>177</v>
      </c>
      <c r="I170" s="26" t="s">
        <v>160</v>
      </c>
      <c r="J170" s="30">
        <v>45399</v>
      </c>
      <c r="K170" s="26" t="s">
        <v>546</v>
      </c>
      <c r="L170" s="26" t="s">
        <v>184</v>
      </c>
      <c r="M170" s="30">
        <v>45399</v>
      </c>
      <c r="N170" s="26" t="s">
        <v>184</v>
      </c>
      <c r="O170" s="26" t="s">
        <v>141</v>
      </c>
      <c r="P170" s="31">
        <v>15</v>
      </c>
      <c r="Q170" s="31"/>
      <c r="R170" s="26" t="s">
        <v>547</v>
      </c>
      <c r="S170" s="26" t="s">
        <v>548</v>
      </c>
      <c r="T170" s="31" t="s">
        <v>549</v>
      </c>
      <c r="U170" s="26" t="s">
        <v>550</v>
      </c>
      <c r="V170" s="26">
        <f t="shared" si="12"/>
        <v>1</v>
      </c>
      <c r="W170" s="26">
        <f t="shared" si="16"/>
        <v>1</v>
      </c>
      <c r="X170" s="26">
        <f>Data_Base[[#This Row],[B.N Total]]-Data_Base[[#This Row],[Nbre Brachements exécuté]]</f>
        <v>0</v>
      </c>
      <c r="Y170" s="26" t="str">
        <f t="shared" si="13"/>
        <v>lundi</v>
      </c>
      <c r="Z170" s="26" t="str">
        <f t="shared" si="14"/>
        <v>15</v>
      </c>
      <c r="AA170" s="26" t="str">
        <f t="shared" si="17"/>
        <v>04</v>
      </c>
      <c r="AB170" s="26" t="str">
        <f t="shared" si="15"/>
        <v>2024</v>
      </c>
    </row>
    <row r="171" spans="1:28" x14ac:dyDescent="0.25">
      <c r="A171" s="30">
        <v>45397</v>
      </c>
      <c r="B171" s="26" t="s">
        <v>9</v>
      </c>
      <c r="C171" s="26" t="s">
        <v>3</v>
      </c>
      <c r="D171" s="26" t="s">
        <v>187</v>
      </c>
      <c r="E171" s="26" t="s">
        <v>142</v>
      </c>
      <c r="F171" s="28" t="s">
        <v>189</v>
      </c>
      <c r="G171" s="26" t="s">
        <v>160</v>
      </c>
      <c r="H171" s="26" t="s">
        <v>177</v>
      </c>
      <c r="I171" s="26" t="s">
        <v>160</v>
      </c>
      <c r="J171" s="30">
        <v>45399</v>
      </c>
      <c r="K171" s="26" t="s">
        <v>546</v>
      </c>
      <c r="L171" s="26" t="s">
        <v>188</v>
      </c>
      <c r="M171" s="30">
        <v>45399</v>
      </c>
      <c r="N171" s="26" t="s">
        <v>188</v>
      </c>
      <c r="O171" s="26" t="s">
        <v>141</v>
      </c>
      <c r="P171" s="31">
        <v>15</v>
      </c>
      <c r="Q171" s="31"/>
      <c r="R171" s="26" t="s">
        <v>547</v>
      </c>
      <c r="S171" s="26" t="s">
        <v>548</v>
      </c>
      <c r="T171" s="31" t="s">
        <v>549</v>
      </c>
      <c r="U171" s="26" t="s">
        <v>550</v>
      </c>
      <c r="V171" s="26">
        <f t="shared" si="12"/>
        <v>1</v>
      </c>
      <c r="W171" s="26">
        <f t="shared" si="16"/>
        <v>1</v>
      </c>
      <c r="X171" s="26">
        <f>Data_Base[[#This Row],[B.N Total]]-Data_Base[[#This Row],[Nbre Brachements exécuté]]</f>
        <v>0</v>
      </c>
      <c r="Y171" s="26" t="str">
        <f t="shared" si="13"/>
        <v>lundi</v>
      </c>
      <c r="Z171" s="26" t="str">
        <f t="shared" si="14"/>
        <v>15</v>
      </c>
      <c r="AA171" s="26" t="str">
        <f t="shared" si="17"/>
        <v>04</v>
      </c>
      <c r="AB171" s="26" t="str">
        <f t="shared" si="15"/>
        <v>2024</v>
      </c>
    </row>
    <row r="172" spans="1:28" x14ac:dyDescent="0.25">
      <c r="A172" s="30">
        <v>45397</v>
      </c>
      <c r="B172" s="26" t="s">
        <v>190</v>
      </c>
      <c r="C172" s="26" t="s">
        <v>2</v>
      </c>
      <c r="D172" s="26" t="s">
        <v>191</v>
      </c>
      <c r="E172" s="26" t="s">
        <v>142</v>
      </c>
      <c r="F172" s="28" t="s">
        <v>193</v>
      </c>
      <c r="G172" s="26" t="s">
        <v>164</v>
      </c>
      <c r="H172" s="26" t="s">
        <v>170</v>
      </c>
      <c r="I172" s="26" t="s">
        <v>164</v>
      </c>
      <c r="J172" s="30">
        <v>45399</v>
      </c>
      <c r="K172" s="26" t="s">
        <v>546</v>
      </c>
      <c r="L172" s="26" t="s">
        <v>192</v>
      </c>
      <c r="M172" s="30">
        <v>45399</v>
      </c>
      <c r="N172" s="26" t="s">
        <v>192</v>
      </c>
      <c r="O172" s="26" t="s">
        <v>141</v>
      </c>
      <c r="P172" s="31">
        <v>15</v>
      </c>
      <c r="Q172" s="31"/>
      <c r="R172" s="26" t="s">
        <v>547</v>
      </c>
      <c r="S172" s="26" t="s">
        <v>548</v>
      </c>
      <c r="T172" s="31" t="s">
        <v>549</v>
      </c>
      <c r="U172" s="26" t="s">
        <v>550</v>
      </c>
      <c r="V172" s="26">
        <f t="shared" si="12"/>
        <v>1</v>
      </c>
      <c r="W172" s="26">
        <f t="shared" si="16"/>
        <v>1</v>
      </c>
      <c r="X172" s="26">
        <f>Data_Base[[#This Row],[B.N Total]]-Data_Base[[#This Row],[Nbre Brachements exécuté]]</f>
        <v>0</v>
      </c>
      <c r="Y172" s="26" t="str">
        <f t="shared" si="13"/>
        <v>lundi</v>
      </c>
      <c r="Z172" s="26" t="str">
        <f t="shared" si="14"/>
        <v>15</v>
      </c>
      <c r="AA172" s="26" t="str">
        <f t="shared" si="17"/>
        <v>04</v>
      </c>
      <c r="AB172" s="26" t="str">
        <f t="shared" si="15"/>
        <v>2024</v>
      </c>
    </row>
    <row r="173" spans="1:28" x14ac:dyDescent="0.25">
      <c r="A173" s="30">
        <v>45397</v>
      </c>
      <c r="B173" s="26" t="s">
        <v>194</v>
      </c>
      <c r="C173" s="26" t="s">
        <v>2</v>
      </c>
      <c r="D173" s="26" t="s">
        <v>195</v>
      </c>
      <c r="E173" s="26"/>
      <c r="G173" s="26" t="s">
        <v>164</v>
      </c>
      <c r="H173" s="26" t="s">
        <v>170</v>
      </c>
      <c r="I173" s="26" t="s">
        <v>164</v>
      </c>
      <c r="J173" s="30">
        <v>45399</v>
      </c>
      <c r="K173" s="26" t="s">
        <v>546</v>
      </c>
      <c r="L173" s="26" t="s">
        <v>196</v>
      </c>
      <c r="M173" s="30">
        <v>45399</v>
      </c>
      <c r="N173" s="26" t="s">
        <v>196</v>
      </c>
      <c r="O173" s="26" t="s">
        <v>389</v>
      </c>
      <c r="P173" s="31">
        <v>15</v>
      </c>
      <c r="Q173" s="31"/>
      <c r="R173" s="26" t="s">
        <v>547</v>
      </c>
      <c r="S173" s="26" t="s">
        <v>548</v>
      </c>
      <c r="T173" s="31" t="s">
        <v>549</v>
      </c>
      <c r="U173" s="26" t="s">
        <v>550</v>
      </c>
      <c r="V173" s="26">
        <f t="shared" si="12"/>
        <v>1</v>
      </c>
      <c r="W173" s="26">
        <f t="shared" si="16"/>
        <v>1</v>
      </c>
      <c r="X173" s="26">
        <f>Data_Base[[#This Row],[B.N Total]]-Data_Base[[#This Row],[Nbre Brachements exécuté]]</f>
        <v>0</v>
      </c>
      <c r="Y173" s="26" t="str">
        <f t="shared" si="13"/>
        <v>lundi</v>
      </c>
      <c r="Z173" s="26" t="str">
        <f t="shared" si="14"/>
        <v>15</v>
      </c>
      <c r="AA173" s="26" t="str">
        <f t="shared" si="17"/>
        <v>04</v>
      </c>
      <c r="AB173" s="26" t="str">
        <f t="shared" si="15"/>
        <v>2024</v>
      </c>
    </row>
    <row r="174" spans="1:28" x14ac:dyDescent="0.25">
      <c r="A174" s="30">
        <v>45397</v>
      </c>
      <c r="B174" s="26" t="s">
        <v>197</v>
      </c>
      <c r="C174" s="26" t="s">
        <v>66</v>
      </c>
      <c r="D174" s="26" t="s">
        <v>198</v>
      </c>
      <c r="E174" s="26" t="s">
        <v>200</v>
      </c>
      <c r="F174" s="28" t="s">
        <v>201</v>
      </c>
      <c r="G174" s="26" t="s">
        <v>164</v>
      </c>
      <c r="H174" s="26" t="s">
        <v>170</v>
      </c>
      <c r="I174" s="26" t="s">
        <v>164</v>
      </c>
      <c r="J174" s="30">
        <v>45399</v>
      </c>
      <c r="K174" s="26" t="s">
        <v>546</v>
      </c>
      <c r="L174" s="26" t="s">
        <v>199</v>
      </c>
      <c r="M174" s="30">
        <v>45399</v>
      </c>
      <c r="N174" s="26" t="s">
        <v>199</v>
      </c>
      <c r="O174" s="26" t="s">
        <v>141</v>
      </c>
      <c r="P174" s="31">
        <v>15</v>
      </c>
      <c r="Q174" s="31"/>
      <c r="R174" s="26" t="s">
        <v>547</v>
      </c>
      <c r="S174" s="26" t="s">
        <v>548</v>
      </c>
      <c r="T174" s="31" t="s">
        <v>549</v>
      </c>
      <c r="U174" s="26" t="s">
        <v>550</v>
      </c>
      <c r="V174" s="26">
        <f t="shared" si="12"/>
        <v>1</v>
      </c>
      <c r="W174" s="26">
        <f t="shared" si="16"/>
        <v>1</v>
      </c>
      <c r="X174" s="26">
        <f>Data_Base[[#This Row],[B.N Total]]-Data_Base[[#This Row],[Nbre Brachements exécuté]]</f>
        <v>0</v>
      </c>
      <c r="Y174" s="26" t="str">
        <f t="shared" si="13"/>
        <v>lundi</v>
      </c>
      <c r="Z174" s="26" t="str">
        <f t="shared" si="14"/>
        <v>15</v>
      </c>
      <c r="AA174" s="26" t="str">
        <f t="shared" si="17"/>
        <v>04</v>
      </c>
      <c r="AB174" s="26" t="str">
        <f t="shared" si="15"/>
        <v>2024</v>
      </c>
    </row>
    <row r="175" spans="1:28" x14ac:dyDescent="0.25">
      <c r="A175" s="30">
        <v>45397</v>
      </c>
      <c r="B175" s="26" t="s">
        <v>202</v>
      </c>
      <c r="C175" s="26" t="s">
        <v>2</v>
      </c>
      <c r="D175" s="26" t="s">
        <v>203</v>
      </c>
      <c r="E175" s="26" t="s">
        <v>142</v>
      </c>
      <c r="F175" s="28" t="s">
        <v>205</v>
      </c>
      <c r="G175" s="26" t="s">
        <v>164</v>
      </c>
      <c r="H175" s="26" t="s">
        <v>170</v>
      </c>
      <c r="I175" s="26" t="s">
        <v>164</v>
      </c>
      <c r="J175" s="30">
        <v>45399</v>
      </c>
      <c r="K175" s="26" t="s">
        <v>546</v>
      </c>
      <c r="L175" s="26" t="s">
        <v>204</v>
      </c>
      <c r="M175" s="30">
        <v>45399</v>
      </c>
      <c r="N175" s="26" t="s">
        <v>204</v>
      </c>
      <c r="O175" s="26" t="s">
        <v>141</v>
      </c>
      <c r="P175" s="31">
        <v>15</v>
      </c>
      <c r="Q175" s="31"/>
      <c r="R175" s="26" t="s">
        <v>547</v>
      </c>
      <c r="S175" s="26" t="s">
        <v>548</v>
      </c>
      <c r="T175" s="31" t="s">
        <v>549</v>
      </c>
      <c r="U175" s="26" t="s">
        <v>550</v>
      </c>
      <c r="V175" s="26">
        <f t="shared" si="12"/>
        <v>1</v>
      </c>
      <c r="W175" s="26">
        <f t="shared" si="16"/>
        <v>1</v>
      </c>
      <c r="X175" s="26">
        <f>Data_Base[[#This Row],[B.N Total]]-Data_Base[[#This Row],[Nbre Brachements exécuté]]</f>
        <v>0</v>
      </c>
      <c r="Y175" s="26" t="str">
        <f t="shared" si="13"/>
        <v>lundi</v>
      </c>
      <c r="Z175" s="26" t="str">
        <f t="shared" si="14"/>
        <v>15</v>
      </c>
      <c r="AA175" s="26" t="str">
        <f t="shared" si="17"/>
        <v>04</v>
      </c>
      <c r="AB175" s="26" t="str">
        <f t="shared" si="15"/>
        <v>2024</v>
      </c>
    </row>
    <row r="176" spans="1:28" x14ac:dyDescent="0.25">
      <c r="A176" s="30">
        <v>45397</v>
      </c>
      <c r="B176" s="26" t="s">
        <v>206</v>
      </c>
      <c r="C176" s="26" t="s">
        <v>2</v>
      </c>
      <c r="D176" s="26" t="s">
        <v>207</v>
      </c>
      <c r="E176" s="26" t="s">
        <v>142</v>
      </c>
      <c r="F176" s="28" t="s">
        <v>208</v>
      </c>
      <c r="G176" s="26" t="s">
        <v>160</v>
      </c>
      <c r="H176" s="26" t="s">
        <v>325</v>
      </c>
      <c r="I176" s="26" t="s">
        <v>160</v>
      </c>
      <c r="J176" s="30">
        <v>45399</v>
      </c>
      <c r="K176" s="26" t="s">
        <v>546</v>
      </c>
      <c r="L176" s="26" t="s">
        <v>10</v>
      </c>
      <c r="M176" s="30">
        <v>45399</v>
      </c>
      <c r="N176" s="26" t="s">
        <v>10</v>
      </c>
      <c r="O176" s="26" t="s">
        <v>141</v>
      </c>
      <c r="P176" s="31">
        <v>15</v>
      </c>
      <c r="Q176" s="31"/>
      <c r="R176" s="26" t="s">
        <v>547</v>
      </c>
      <c r="S176" s="26" t="s">
        <v>548</v>
      </c>
      <c r="T176" s="31" t="s">
        <v>549</v>
      </c>
      <c r="U176" s="26" t="s">
        <v>550</v>
      </c>
      <c r="V176" s="26">
        <f t="shared" si="12"/>
        <v>1</v>
      </c>
      <c r="W176" s="26">
        <f t="shared" si="16"/>
        <v>1</v>
      </c>
      <c r="X176" s="26">
        <f>Data_Base[[#This Row],[B.N Total]]-Data_Base[[#This Row],[Nbre Brachements exécuté]]</f>
        <v>0</v>
      </c>
      <c r="Y176" s="26" t="str">
        <f t="shared" si="13"/>
        <v>lundi</v>
      </c>
      <c r="Z176" s="26" t="str">
        <f t="shared" si="14"/>
        <v>15</v>
      </c>
      <c r="AA176" s="26" t="str">
        <f t="shared" si="17"/>
        <v>04</v>
      </c>
      <c r="AB176" s="26" t="str">
        <f t="shared" si="15"/>
        <v>2024</v>
      </c>
    </row>
    <row r="177" spans="1:28" x14ac:dyDescent="0.25">
      <c r="A177" s="30">
        <v>45397</v>
      </c>
      <c r="B177" s="26" t="s">
        <v>209</v>
      </c>
      <c r="C177" s="26" t="s">
        <v>2</v>
      </c>
      <c r="D177" s="26" t="s">
        <v>210</v>
      </c>
      <c r="E177" s="26" t="s">
        <v>142</v>
      </c>
      <c r="F177" s="28" t="s">
        <v>212</v>
      </c>
      <c r="G177" s="26" t="s">
        <v>160</v>
      </c>
      <c r="H177" s="26" t="s">
        <v>161</v>
      </c>
      <c r="I177" s="26" t="s">
        <v>160</v>
      </c>
      <c r="J177" s="30">
        <v>45399</v>
      </c>
      <c r="K177" s="26" t="s">
        <v>546</v>
      </c>
      <c r="L177" s="26" t="s">
        <v>211</v>
      </c>
      <c r="M177" s="30">
        <v>45399</v>
      </c>
      <c r="N177" s="26" t="s">
        <v>211</v>
      </c>
      <c r="O177" s="26" t="s">
        <v>141</v>
      </c>
      <c r="P177" s="31">
        <v>15</v>
      </c>
      <c r="Q177" s="31"/>
      <c r="R177" s="26" t="s">
        <v>547</v>
      </c>
      <c r="S177" s="26" t="s">
        <v>548</v>
      </c>
      <c r="T177" s="31" t="s">
        <v>549</v>
      </c>
      <c r="U177" s="26" t="s">
        <v>550</v>
      </c>
      <c r="V177" s="26">
        <f t="shared" si="12"/>
        <v>1</v>
      </c>
      <c r="W177" s="26">
        <f t="shared" si="16"/>
        <v>1</v>
      </c>
      <c r="X177" s="26">
        <f>Data_Base[[#This Row],[B.N Total]]-Data_Base[[#This Row],[Nbre Brachements exécuté]]</f>
        <v>0</v>
      </c>
      <c r="Y177" s="26" t="str">
        <f t="shared" si="13"/>
        <v>lundi</v>
      </c>
      <c r="Z177" s="26" t="str">
        <f t="shared" si="14"/>
        <v>15</v>
      </c>
      <c r="AA177" s="26" t="str">
        <f t="shared" si="17"/>
        <v>04</v>
      </c>
      <c r="AB177" s="26" t="str">
        <f t="shared" si="15"/>
        <v>2024</v>
      </c>
    </row>
    <row r="178" spans="1:28" x14ac:dyDescent="0.25">
      <c r="A178" s="30">
        <v>45397</v>
      </c>
      <c r="B178" s="26" t="s">
        <v>213</v>
      </c>
      <c r="C178" s="26" t="s">
        <v>2</v>
      </c>
      <c r="D178" s="26" t="s">
        <v>214</v>
      </c>
      <c r="E178" s="26" t="s">
        <v>142</v>
      </c>
      <c r="F178" s="28" t="s">
        <v>216</v>
      </c>
      <c r="G178" s="26" t="s">
        <v>160</v>
      </c>
      <c r="H178" s="26" t="s">
        <v>161</v>
      </c>
      <c r="I178" s="26" t="s">
        <v>160</v>
      </c>
      <c r="J178" s="30">
        <v>45399</v>
      </c>
      <c r="K178" s="26" t="s">
        <v>546</v>
      </c>
      <c r="L178" s="26" t="s">
        <v>215</v>
      </c>
      <c r="M178" s="30">
        <v>45399</v>
      </c>
      <c r="N178" s="26" t="s">
        <v>215</v>
      </c>
      <c r="O178" s="26" t="s">
        <v>141</v>
      </c>
      <c r="P178" s="31">
        <v>15</v>
      </c>
      <c r="Q178" s="31"/>
      <c r="R178" s="26" t="s">
        <v>547</v>
      </c>
      <c r="S178" s="26" t="s">
        <v>548</v>
      </c>
      <c r="T178" s="31" t="s">
        <v>549</v>
      </c>
      <c r="U178" s="26" t="s">
        <v>550</v>
      </c>
      <c r="V178" s="26">
        <f t="shared" si="12"/>
        <v>1</v>
      </c>
      <c r="W178" s="26">
        <f t="shared" si="16"/>
        <v>1</v>
      </c>
      <c r="X178" s="26">
        <f>Data_Base[[#This Row],[B.N Total]]-Data_Base[[#This Row],[Nbre Brachements exécuté]]</f>
        <v>0</v>
      </c>
      <c r="Y178" s="26" t="str">
        <f t="shared" si="13"/>
        <v>lundi</v>
      </c>
      <c r="Z178" s="26" t="str">
        <f t="shared" si="14"/>
        <v>15</v>
      </c>
      <c r="AA178" s="26" t="str">
        <f t="shared" si="17"/>
        <v>04</v>
      </c>
      <c r="AB178" s="26" t="str">
        <f t="shared" si="15"/>
        <v>2024</v>
      </c>
    </row>
    <row r="179" spans="1:28" x14ac:dyDescent="0.25">
      <c r="A179" s="30">
        <v>45397</v>
      </c>
      <c r="B179" s="26" t="s">
        <v>217</v>
      </c>
      <c r="C179" s="26" t="s">
        <v>2</v>
      </c>
      <c r="D179" s="26" t="s">
        <v>218</v>
      </c>
      <c r="E179" s="26" t="s">
        <v>142</v>
      </c>
      <c r="F179" s="28" t="s">
        <v>220</v>
      </c>
      <c r="G179" s="26" t="s">
        <v>164</v>
      </c>
      <c r="H179" s="26" t="s">
        <v>221</v>
      </c>
      <c r="I179" s="26" t="s">
        <v>164</v>
      </c>
      <c r="J179" s="30">
        <v>45399</v>
      </c>
      <c r="K179" s="26" t="s">
        <v>546</v>
      </c>
      <c r="L179" s="26" t="s">
        <v>219</v>
      </c>
      <c r="M179" s="30">
        <v>45399</v>
      </c>
      <c r="N179" s="26" t="s">
        <v>219</v>
      </c>
      <c r="O179" s="26" t="s">
        <v>141</v>
      </c>
      <c r="P179" s="31">
        <v>15</v>
      </c>
      <c r="Q179" s="31"/>
      <c r="R179" s="26" t="s">
        <v>547</v>
      </c>
      <c r="S179" s="26" t="s">
        <v>548</v>
      </c>
      <c r="T179" s="31" t="s">
        <v>549</v>
      </c>
      <c r="U179" s="26" t="s">
        <v>550</v>
      </c>
      <c r="V179" s="26">
        <f t="shared" si="12"/>
        <v>1</v>
      </c>
      <c r="W179" s="26">
        <f t="shared" si="16"/>
        <v>1</v>
      </c>
      <c r="X179" s="26">
        <f>Data_Base[[#This Row],[B.N Total]]-Data_Base[[#This Row],[Nbre Brachements exécuté]]</f>
        <v>0</v>
      </c>
      <c r="Y179" s="26" t="str">
        <f t="shared" si="13"/>
        <v>lundi</v>
      </c>
      <c r="Z179" s="26" t="str">
        <f t="shared" si="14"/>
        <v>15</v>
      </c>
      <c r="AA179" s="26" t="str">
        <f t="shared" si="17"/>
        <v>04</v>
      </c>
      <c r="AB179" s="26" t="str">
        <f t="shared" si="15"/>
        <v>2024</v>
      </c>
    </row>
    <row r="180" spans="1:28" x14ac:dyDescent="0.25">
      <c r="A180" s="30">
        <v>45397</v>
      </c>
      <c r="B180" s="26" t="s">
        <v>236</v>
      </c>
      <c r="C180" s="26" t="s">
        <v>3</v>
      </c>
      <c r="D180" s="26" t="s">
        <v>237</v>
      </c>
      <c r="E180" s="26" t="s">
        <v>142</v>
      </c>
      <c r="F180" s="28" t="s">
        <v>239</v>
      </c>
      <c r="G180" s="26" t="s">
        <v>160</v>
      </c>
      <c r="H180" s="26" t="s">
        <v>161</v>
      </c>
      <c r="I180" s="26" t="s">
        <v>160</v>
      </c>
      <c r="J180" s="30">
        <v>45399</v>
      </c>
      <c r="K180" s="26" t="s">
        <v>546</v>
      </c>
      <c r="L180" s="26" t="s">
        <v>11</v>
      </c>
      <c r="M180" s="30">
        <v>45399</v>
      </c>
      <c r="N180" s="26" t="s">
        <v>11</v>
      </c>
      <c r="O180" s="26" t="s">
        <v>238</v>
      </c>
      <c r="P180" s="31">
        <v>30</v>
      </c>
      <c r="Q180" s="31"/>
      <c r="R180" s="26" t="s">
        <v>547</v>
      </c>
      <c r="S180" s="26" t="s">
        <v>548</v>
      </c>
      <c r="T180" s="31" t="s">
        <v>549</v>
      </c>
      <c r="U180" s="26" t="s">
        <v>550</v>
      </c>
      <c r="V180" s="26">
        <f t="shared" si="12"/>
        <v>1</v>
      </c>
      <c r="W180" s="26">
        <f t="shared" si="16"/>
        <v>1</v>
      </c>
      <c r="X180" s="26">
        <f>Data_Base[[#This Row],[B.N Total]]-Data_Base[[#This Row],[Nbre Brachements exécuté]]</f>
        <v>0</v>
      </c>
      <c r="Y180" s="26" t="str">
        <f t="shared" si="13"/>
        <v>lundi</v>
      </c>
      <c r="Z180" s="26" t="str">
        <f t="shared" si="14"/>
        <v>15</v>
      </c>
      <c r="AA180" s="26" t="str">
        <f t="shared" si="17"/>
        <v>04</v>
      </c>
      <c r="AB180" s="26" t="str">
        <f t="shared" si="15"/>
        <v>2024</v>
      </c>
    </row>
    <row r="181" spans="1:28" x14ac:dyDescent="0.25">
      <c r="A181" s="30">
        <v>45397</v>
      </c>
      <c r="B181" s="26" t="s">
        <v>121</v>
      </c>
      <c r="C181" s="26" t="s">
        <v>3</v>
      </c>
      <c r="D181" s="26" t="s">
        <v>240</v>
      </c>
      <c r="E181" s="26" t="s">
        <v>142</v>
      </c>
      <c r="F181" s="28" t="s">
        <v>242</v>
      </c>
      <c r="G181" s="26" t="s">
        <v>160</v>
      </c>
      <c r="H181" s="26" t="s">
        <v>161</v>
      </c>
      <c r="I181" s="26" t="s">
        <v>160</v>
      </c>
      <c r="J181" s="30">
        <v>45399</v>
      </c>
      <c r="K181" s="26" t="s">
        <v>546</v>
      </c>
      <c r="L181" s="26" t="s">
        <v>241</v>
      </c>
      <c r="M181" s="30">
        <v>45399</v>
      </c>
      <c r="N181" s="26" t="s">
        <v>241</v>
      </c>
      <c r="O181" s="26" t="s">
        <v>141</v>
      </c>
      <c r="P181" s="31">
        <v>15</v>
      </c>
      <c r="Q181" s="31"/>
      <c r="R181" s="26" t="s">
        <v>547</v>
      </c>
      <c r="S181" s="26" t="s">
        <v>548</v>
      </c>
      <c r="T181" s="31" t="s">
        <v>549</v>
      </c>
      <c r="U181" s="26" t="s">
        <v>550</v>
      </c>
      <c r="V181" s="26">
        <f t="shared" si="12"/>
        <v>1</v>
      </c>
      <c r="W181" s="26">
        <f t="shared" si="16"/>
        <v>1</v>
      </c>
      <c r="X181" s="26">
        <f>Data_Base[[#This Row],[B.N Total]]-Data_Base[[#This Row],[Nbre Brachements exécuté]]</f>
        <v>0</v>
      </c>
      <c r="Y181" s="26" t="str">
        <f t="shared" si="13"/>
        <v>lundi</v>
      </c>
      <c r="Z181" s="26" t="str">
        <f t="shared" si="14"/>
        <v>15</v>
      </c>
      <c r="AA181" s="26" t="str">
        <f t="shared" si="17"/>
        <v>04</v>
      </c>
      <c r="AB181" s="26" t="str">
        <f t="shared" si="15"/>
        <v>2024</v>
      </c>
    </row>
    <row r="182" spans="1:28" x14ac:dyDescent="0.25">
      <c r="A182" s="30">
        <v>45397</v>
      </c>
      <c r="B182" s="26" t="s">
        <v>288</v>
      </c>
      <c r="C182" s="26" t="s">
        <v>66</v>
      </c>
      <c r="D182" s="26" t="s">
        <v>289</v>
      </c>
      <c r="E182" s="26" t="s">
        <v>291</v>
      </c>
      <c r="F182" s="28" t="s">
        <v>292</v>
      </c>
      <c r="G182" s="26" t="s">
        <v>160</v>
      </c>
      <c r="H182" s="26" t="s">
        <v>161</v>
      </c>
      <c r="I182" s="26" t="s">
        <v>160</v>
      </c>
      <c r="J182" s="30">
        <v>45399</v>
      </c>
      <c r="K182" s="26" t="s">
        <v>546</v>
      </c>
      <c r="L182" s="26" t="s">
        <v>14</v>
      </c>
      <c r="M182" s="30">
        <v>45399</v>
      </c>
      <c r="N182" s="26" t="s">
        <v>14</v>
      </c>
      <c r="O182" s="26" t="s">
        <v>290</v>
      </c>
      <c r="P182" s="31">
        <v>30</v>
      </c>
      <c r="Q182" s="31"/>
      <c r="R182" s="26" t="s">
        <v>547</v>
      </c>
      <c r="S182" s="26" t="s">
        <v>548</v>
      </c>
      <c r="T182" s="31" t="s">
        <v>549</v>
      </c>
      <c r="U182" s="26" t="s">
        <v>550</v>
      </c>
      <c r="V182" s="26">
        <f t="shared" si="12"/>
        <v>1</v>
      </c>
      <c r="W182" s="26">
        <f t="shared" si="16"/>
        <v>1</v>
      </c>
      <c r="X182" s="26">
        <f>Data_Base[[#This Row],[B.N Total]]-Data_Base[[#This Row],[Nbre Brachements exécuté]]</f>
        <v>0</v>
      </c>
      <c r="Y182" s="26" t="str">
        <f t="shared" si="13"/>
        <v>lundi</v>
      </c>
      <c r="Z182" s="26" t="str">
        <f t="shared" si="14"/>
        <v>15</v>
      </c>
      <c r="AA182" s="26" t="str">
        <f t="shared" si="17"/>
        <v>04</v>
      </c>
      <c r="AB182" s="26" t="str">
        <f t="shared" si="15"/>
        <v>2024</v>
      </c>
    </row>
    <row r="183" spans="1:28" x14ac:dyDescent="0.25">
      <c r="A183" s="30">
        <v>45397</v>
      </c>
      <c r="B183" s="26" t="s">
        <v>293</v>
      </c>
      <c r="C183" s="26" t="s">
        <v>2</v>
      </c>
      <c r="D183" s="26" t="s">
        <v>294</v>
      </c>
      <c r="E183" s="26" t="s">
        <v>142</v>
      </c>
      <c r="F183" s="28" t="s">
        <v>363</v>
      </c>
      <c r="G183" s="26" t="s">
        <v>160</v>
      </c>
      <c r="H183" s="26" t="s">
        <v>161</v>
      </c>
      <c r="I183" s="26" t="s">
        <v>160</v>
      </c>
      <c r="J183" s="30">
        <v>45399</v>
      </c>
      <c r="K183" s="26" t="s">
        <v>546</v>
      </c>
      <c r="L183" s="26" t="s">
        <v>365</v>
      </c>
      <c r="M183" s="30">
        <v>45399</v>
      </c>
      <c r="N183" s="26" t="s">
        <v>365</v>
      </c>
      <c r="O183" s="26" t="s">
        <v>141</v>
      </c>
      <c r="P183" s="31">
        <v>15</v>
      </c>
      <c r="Q183" s="31"/>
      <c r="R183" s="26" t="s">
        <v>547</v>
      </c>
      <c r="S183" s="26" t="s">
        <v>548</v>
      </c>
      <c r="T183" s="31" t="s">
        <v>549</v>
      </c>
      <c r="U183" s="26" t="s">
        <v>550</v>
      </c>
      <c r="V183" s="26">
        <f t="shared" si="12"/>
        <v>1</v>
      </c>
      <c r="W183" s="26">
        <f t="shared" si="16"/>
        <v>1</v>
      </c>
      <c r="X183" s="26">
        <f>Data_Base[[#This Row],[B.N Total]]-Data_Base[[#This Row],[Nbre Brachements exécuté]]</f>
        <v>0</v>
      </c>
      <c r="Y183" s="26" t="str">
        <f t="shared" si="13"/>
        <v>lundi</v>
      </c>
      <c r="Z183" s="26" t="str">
        <f t="shared" si="14"/>
        <v>15</v>
      </c>
      <c r="AA183" s="26" t="str">
        <f t="shared" si="17"/>
        <v>04</v>
      </c>
      <c r="AB183" s="26" t="str">
        <f t="shared" si="15"/>
        <v>2024</v>
      </c>
    </row>
    <row r="184" spans="1:28" x14ac:dyDescent="0.25">
      <c r="A184" s="30">
        <v>45397</v>
      </c>
      <c r="B184" s="26" t="s">
        <v>293</v>
      </c>
      <c r="C184" s="26" t="s">
        <v>2</v>
      </c>
      <c r="D184" s="26" t="s">
        <v>295</v>
      </c>
      <c r="E184" s="26" t="s">
        <v>142</v>
      </c>
      <c r="F184" s="28" t="s">
        <v>363</v>
      </c>
      <c r="G184" s="26" t="s">
        <v>160</v>
      </c>
      <c r="H184" s="26" t="s">
        <v>161</v>
      </c>
      <c r="I184" s="26" t="s">
        <v>160</v>
      </c>
      <c r="J184" s="30">
        <v>45399</v>
      </c>
      <c r="K184" s="26" t="s">
        <v>546</v>
      </c>
      <c r="L184" s="26" t="s">
        <v>364</v>
      </c>
      <c r="M184" s="30">
        <v>45399</v>
      </c>
      <c r="N184" s="26" t="s">
        <v>364</v>
      </c>
      <c r="O184" s="26" t="s">
        <v>141</v>
      </c>
      <c r="P184" s="31">
        <v>15</v>
      </c>
      <c r="Q184" s="31"/>
      <c r="R184" s="26" t="s">
        <v>547</v>
      </c>
      <c r="S184" s="26" t="s">
        <v>548</v>
      </c>
      <c r="T184" s="31" t="s">
        <v>549</v>
      </c>
      <c r="U184" s="26" t="s">
        <v>550</v>
      </c>
      <c r="V184" s="26">
        <f t="shared" si="12"/>
        <v>1</v>
      </c>
      <c r="W184" s="26">
        <f t="shared" si="16"/>
        <v>1</v>
      </c>
      <c r="X184" s="26">
        <f>Data_Base[[#This Row],[B.N Total]]-Data_Base[[#This Row],[Nbre Brachements exécuté]]</f>
        <v>0</v>
      </c>
      <c r="Y184" s="26" t="str">
        <f t="shared" si="13"/>
        <v>lundi</v>
      </c>
      <c r="Z184" s="26" t="str">
        <f t="shared" si="14"/>
        <v>15</v>
      </c>
      <c r="AA184" s="26" t="str">
        <f t="shared" si="17"/>
        <v>04</v>
      </c>
      <c r="AB184" s="26" t="str">
        <f t="shared" si="15"/>
        <v>2024</v>
      </c>
    </row>
    <row r="185" spans="1:28" x14ac:dyDescent="0.25">
      <c r="A185" s="30">
        <v>45397</v>
      </c>
      <c r="B185" s="26" t="s">
        <v>293</v>
      </c>
      <c r="C185" s="26" t="s">
        <v>2</v>
      </c>
      <c r="D185" s="26" t="s">
        <v>296</v>
      </c>
      <c r="E185" s="26" t="s">
        <v>142</v>
      </c>
      <c r="F185" s="28" t="s">
        <v>363</v>
      </c>
      <c r="G185" s="26" t="s">
        <v>160</v>
      </c>
      <c r="H185" s="26" t="s">
        <v>161</v>
      </c>
      <c r="I185" s="26" t="s">
        <v>160</v>
      </c>
      <c r="J185" s="30">
        <v>45399</v>
      </c>
      <c r="K185" s="26" t="s">
        <v>546</v>
      </c>
      <c r="L185" s="26" t="s">
        <v>362</v>
      </c>
      <c r="M185" s="30">
        <v>45399</v>
      </c>
      <c r="N185" s="26" t="s">
        <v>362</v>
      </c>
      <c r="O185" s="26" t="s">
        <v>141</v>
      </c>
      <c r="P185" s="31">
        <v>15</v>
      </c>
      <c r="Q185" s="31"/>
      <c r="R185" s="26" t="s">
        <v>547</v>
      </c>
      <c r="S185" s="26" t="s">
        <v>548</v>
      </c>
      <c r="T185" s="31" t="s">
        <v>549</v>
      </c>
      <c r="U185" s="26" t="s">
        <v>550</v>
      </c>
      <c r="V185" s="26">
        <f t="shared" si="12"/>
        <v>1</v>
      </c>
      <c r="W185" s="26">
        <f t="shared" si="16"/>
        <v>1</v>
      </c>
      <c r="X185" s="26">
        <f>Data_Base[[#This Row],[B.N Total]]-Data_Base[[#This Row],[Nbre Brachements exécuté]]</f>
        <v>0</v>
      </c>
      <c r="Y185" s="26" t="str">
        <f t="shared" si="13"/>
        <v>lundi</v>
      </c>
      <c r="Z185" s="26" t="str">
        <f t="shared" si="14"/>
        <v>15</v>
      </c>
      <c r="AA185" s="26" t="str">
        <f t="shared" si="17"/>
        <v>04</v>
      </c>
      <c r="AB185" s="26" t="str">
        <f t="shared" si="15"/>
        <v>2024</v>
      </c>
    </row>
    <row r="186" spans="1:28" x14ac:dyDescent="0.25">
      <c r="A186" s="30">
        <v>45397</v>
      </c>
      <c r="B186" s="26" t="s">
        <v>297</v>
      </c>
      <c r="C186" s="26" t="s">
        <v>2</v>
      </c>
      <c r="D186" s="26" t="s">
        <v>298</v>
      </c>
      <c r="E186" s="26"/>
      <c r="G186" s="26"/>
      <c r="H186" s="26"/>
      <c r="I186" s="26"/>
      <c r="J186" s="30"/>
      <c r="K186" s="26"/>
      <c r="M186" s="30"/>
      <c r="O186" s="26"/>
      <c r="P186" s="31"/>
      <c r="Q186" s="31"/>
      <c r="R186" s="26"/>
      <c r="S186" s="26"/>
      <c r="T186" s="31"/>
      <c r="U186" s="26"/>
      <c r="V186" s="26">
        <f t="shared" si="12"/>
        <v>1</v>
      </c>
      <c r="W186" s="26">
        <f t="shared" si="16"/>
        <v>0</v>
      </c>
      <c r="X186" s="26">
        <f>Data_Base[[#This Row],[B.N Total]]-Data_Base[[#This Row],[Nbre Brachements exécuté]]</f>
        <v>1</v>
      </c>
      <c r="Y186" s="26" t="str">
        <f t="shared" si="13"/>
        <v>lundi</v>
      </c>
      <c r="Z186" s="26" t="str">
        <f t="shared" si="14"/>
        <v>15</v>
      </c>
      <c r="AA186" s="26" t="str">
        <f t="shared" si="17"/>
        <v>04</v>
      </c>
      <c r="AB186" s="26" t="str">
        <f t="shared" si="15"/>
        <v>2024</v>
      </c>
    </row>
    <row r="187" spans="1:28" x14ac:dyDescent="0.25">
      <c r="A187" s="30">
        <v>45397</v>
      </c>
      <c r="B187" s="26" t="s">
        <v>307</v>
      </c>
      <c r="C187" s="26" t="s">
        <v>2</v>
      </c>
      <c r="D187" s="26" t="s">
        <v>308</v>
      </c>
      <c r="E187" s="26" t="s">
        <v>142</v>
      </c>
      <c r="F187" s="28" t="s">
        <v>310</v>
      </c>
      <c r="G187" s="26" t="s">
        <v>164</v>
      </c>
      <c r="H187" s="26" t="s">
        <v>170</v>
      </c>
      <c r="I187" s="26" t="s">
        <v>164</v>
      </c>
      <c r="J187" s="30">
        <v>45399</v>
      </c>
      <c r="K187" s="26" t="s">
        <v>546</v>
      </c>
      <c r="L187" s="26" t="s">
        <v>309</v>
      </c>
      <c r="M187" s="30">
        <v>45399</v>
      </c>
      <c r="N187" s="26" t="s">
        <v>309</v>
      </c>
      <c r="O187" s="26" t="s">
        <v>141</v>
      </c>
      <c r="P187" s="31">
        <v>15</v>
      </c>
      <c r="Q187" s="31"/>
      <c r="R187" s="26" t="s">
        <v>547</v>
      </c>
      <c r="S187" s="26" t="s">
        <v>548</v>
      </c>
      <c r="T187" s="31" t="s">
        <v>549</v>
      </c>
      <c r="U187" s="26" t="s">
        <v>550</v>
      </c>
      <c r="V187" s="26">
        <f t="shared" si="12"/>
        <v>1</v>
      </c>
      <c r="W187" s="26">
        <f t="shared" si="16"/>
        <v>1</v>
      </c>
      <c r="X187" s="26">
        <f>Data_Base[[#This Row],[B.N Total]]-Data_Base[[#This Row],[Nbre Brachements exécuté]]</f>
        <v>0</v>
      </c>
      <c r="Y187" s="26" t="str">
        <f t="shared" si="13"/>
        <v>lundi</v>
      </c>
      <c r="Z187" s="26" t="str">
        <f t="shared" si="14"/>
        <v>15</v>
      </c>
      <c r="AA187" s="26" t="str">
        <f t="shared" si="17"/>
        <v>04</v>
      </c>
      <c r="AB187" s="26" t="str">
        <f t="shared" si="15"/>
        <v>2024</v>
      </c>
    </row>
    <row r="188" spans="1:28" x14ac:dyDescent="0.25">
      <c r="A188" s="30">
        <v>45397</v>
      </c>
      <c r="B188" s="26" t="s">
        <v>318</v>
      </c>
      <c r="C188" s="26" t="s">
        <v>3</v>
      </c>
      <c r="D188" s="26" t="s">
        <v>315</v>
      </c>
      <c r="E188" s="26" t="s">
        <v>142</v>
      </c>
      <c r="F188" s="28" t="s">
        <v>317</v>
      </c>
      <c r="G188" s="26" t="s">
        <v>160</v>
      </c>
      <c r="H188" s="26" t="s">
        <v>325</v>
      </c>
      <c r="I188" s="26" t="s">
        <v>160</v>
      </c>
      <c r="J188" s="30">
        <v>45399</v>
      </c>
      <c r="K188" s="26" t="s">
        <v>546</v>
      </c>
      <c r="L188" s="26" t="s">
        <v>316</v>
      </c>
      <c r="M188" s="30">
        <v>45399</v>
      </c>
      <c r="N188" s="26" t="s">
        <v>316</v>
      </c>
      <c r="O188" s="26" t="s">
        <v>141</v>
      </c>
      <c r="P188" s="31">
        <v>30</v>
      </c>
      <c r="Q188" s="31"/>
      <c r="R188" s="26" t="s">
        <v>547</v>
      </c>
      <c r="S188" s="26" t="s">
        <v>548</v>
      </c>
      <c r="T188" s="31" t="s">
        <v>549</v>
      </c>
      <c r="U188" s="26" t="s">
        <v>550</v>
      </c>
      <c r="V188" s="26">
        <f t="shared" si="12"/>
        <v>1</v>
      </c>
      <c r="W188" s="26">
        <f t="shared" si="16"/>
        <v>1</v>
      </c>
      <c r="X188" s="26">
        <f>Data_Base[[#This Row],[B.N Total]]-Data_Base[[#This Row],[Nbre Brachements exécuté]]</f>
        <v>0</v>
      </c>
      <c r="Y188" s="26" t="str">
        <f t="shared" si="13"/>
        <v>lundi</v>
      </c>
      <c r="Z188" s="26" t="str">
        <f t="shared" si="14"/>
        <v>15</v>
      </c>
      <c r="AA188" s="26" t="str">
        <f t="shared" si="17"/>
        <v>04</v>
      </c>
      <c r="AB188" s="26" t="str">
        <f t="shared" si="15"/>
        <v>2024</v>
      </c>
    </row>
    <row r="189" spans="1:28" x14ac:dyDescent="0.25">
      <c r="A189" s="30">
        <v>45397</v>
      </c>
      <c r="B189" s="26" t="s">
        <v>202</v>
      </c>
      <c r="C189" s="26" t="s">
        <v>2</v>
      </c>
      <c r="D189" s="26" t="s">
        <v>331</v>
      </c>
      <c r="E189" s="26" t="s">
        <v>142</v>
      </c>
      <c r="F189" s="28" t="s">
        <v>205</v>
      </c>
      <c r="G189" s="26" t="s">
        <v>164</v>
      </c>
      <c r="H189" s="26" t="s">
        <v>328</v>
      </c>
      <c r="I189" s="26" t="s">
        <v>164</v>
      </c>
      <c r="J189" s="30">
        <v>45399</v>
      </c>
      <c r="K189" s="26" t="s">
        <v>546</v>
      </c>
      <c r="L189" s="26" t="s">
        <v>332</v>
      </c>
      <c r="M189" s="30">
        <v>45399</v>
      </c>
      <c r="N189" s="26" t="s">
        <v>332</v>
      </c>
      <c r="O189" s="26" t="s">
        <v>141</v>
      </c>
      <c r="P189" s="31">
        <v>20</v>
      </c>
      <c r="Q189" s="31"/>
      <c r="R189" s="26" t="s">
        <v>547</v>
      </c>
      <c r="S189" s="26" t="s">
        <v>548</v>
      </c>
      <c r="T189" s="31" t="s">
        <v>549</v>
      </c>
      <c r="U189" s="26" t="s">
        <v>550</v>
      </c>
      <c r="V189" s="26">
        <f t="shared" si="12"/>
        <v>1</v>
      </c>
      <c r="W189" s="26">
        <f t="shared" si="16"/>
        <v>1</v>
      </c>
      <c r="X189" s="26">
        <f>Data_Base[[#This Row],[B.N Total]]-Data_Base[[#This Row],[Nbre Brachements exécuté]]</f>
        <v>0</v>
      </c>
      <c r="Y189" s="26" t="str">
        <f t="shared" si="13"/>
        <v>lundi</v>
      </c>
      <c r="Z189" s="26" t="str">
        <f t="shared" si="14"/>
        <v>15</v>
      </c>
      <c r="AA189" s="26" t="str">
        <f t="shared" si="17"/>
        <v>04</v>
      </c>
      <c r="AB189" s="26" t="str">
        <f t="shared" si="15"/>
        <v>2024</v>
      </c>
    </row>
    <row r="190" spans="1:28" x14ac:dyDescent="0.25">
      <c r="A190" s="30">
        <v>45397</v>
      </c>
      <c r="B190" s="26" t="s">
        <v>333</v>
      </c>
      <c r="C190" s="26" t="s">
        <v>2</v>
      </c>
      <c r="D190" s="26" t="s">
        <v>334</v>
      </c>
      <c r="E190" s="26" t="s">
        <v>142</v>
      </c>
      <c r="F190" s="28" t="s">
        <v>336</v>
      </c>
      <c r="G190" s="26" t="s">
        <v>164</v>
      </c>
      <c r="H190" s="26" t="s">
        <v>328</v>
      </c>
      <c r="I190" s="26" t="s">
        <v>164</v>
      </c>
      <c r="J190" s="30">
        <v>45399</v>
      </c>
      <c r="K190" s="26" t="s">
        <v>546</v>
      </c>
      <c r="L190" s="26" t="s">
        <v>335</v>
      </c>
      <c r="M190" s="30">
        <v>45399</v>
      </c>
      <c r="N190" s="26" t="s">
        <v>335</v>
      </c>
      <c r="O190" s="26" t="s">
        <v>238</v>
      </c>
      <c r="P190" s="31">
        <v>30</v>
      </c>
      <c r="Q190" s="31"/>
      <c r="R190" s="26" t="s">
        <v>547</v>
      </c>
      <c r="S190" s="26" t="s">
        <v>548</v>
      </c>
      <c r="T190" s="31" t="s">
        <v>549</v>
      </c>
      <c r="U190" s="26" t="s">
        <v>550</v>
      </c>
      <c r="V190" s="26">
        <f t="shared" si="12"/>
        <v>1</v>
      </c>
      <c r="W190" s="26">
        <f t="shared" si="16"/>
        <v>1</v>
      </c>
      <c r="X190" s="26">
        <f>Data_Base[[#This Row],[B.N Total]]-Data_Base[[#This Row],[Nbre Brachements exécuté]]</f>
        <v>0</v>
      </c>
      <c r="Y190" s="26" t="str">
        <f t="shared" si="13"/>
        <v>lundi</v>
      </c>
      <c r="Z190" s="26" t="str">
        <f t="shared" si="14"/>
        <v>15</v>
      </c>
      <c r="AA190" s="26" t="str">
        <f t="shared" si="17"/>
        <v>04</v>
      </c>
      <c r="AB190" s="26" t="str">
        <f t="shared" si="15"/>
        <v>2024</v>
      </c>
    </row>
    <row r="191" spans="1:28" x14ac:dyDescent="0.25">
      <c r="A191" s="30">
        <v>45397</v>
      </c>
      <c r="B191" s="26" t="s">
        <v>174</v>
      </c>
      <c r="C191" s="26" t="s">
        <v>2</v>
      </c>
      <c r="D191" s="26" t="s">
        <v>337</v>
      </c>
      <c r="E191" s="26" t="s">
        <v>142</v>
      </c>
      <c r="F191" s="28" t="s">
        <v>339</v>
      </c>
      <c r="G191" s="26" t="s">
        <v>160</v>
      </c>
      <c r="H191" s="26" t="s">
        <v>177</v>
      </c>
      <c r="I191" s="26" t="s">
        <v>160</v>
      </c>
      <c r="J191" s="30">
        <v>45399</v>
      </c>
      <c r="K191" s="26" t="s">
        <v>546</v>
      </c>
      <c r="L191" s="26" t="s">
        <v>338</v>
      </c>
      <c r="M191" s="30">
        <v>45399</v>
      </c>
      <c r="N191" s="26" t="s">
        <v>338</v>
      </c>
      <c r="O191" s="26" t="s">
        <v>141</v>
      </c>
      <c r="P191" s="31">
        <v>15</v>
      </c>
      <c r="Q191" s="31"/>
      <c r="R191" s="26" t="s">
        <v>547</v>
      </c>
      <c r="S191" s="26" t="s">
        <v>548</v>
      </c>
      <c r="T191" s="31" t="s">
        <v>549</v>
      </c>
      <c r="U191" s="26" t="s">
        <v>550</v>
      </c>
      <c r="V191" s="26">
        <f t="shared" si="12"/>
        <v>1</v>
      </c>
      <c r="W191" s="26">
        <f t="shared" si="16"/>
        <v>1</v>
      </c>
      <c r="X191" s="26">
        <f>Data_Base[[#This Row],[B.N Total]]-Data_Base[[#This Row],[Nbre Brachements exécuté]]</f>
        <v>0</v>
      </c>
      <c r="Y191" s="26" t="str">
        <f t="shared" si="13"/>
        <v>lundi</v>
      </c>
      <c r="Z191" s="26" t="str">
        <f t="shared" si="14"/>
        <v>15</v>
      </c>
      <c r="AA191" s="26" t="str">
        <f t="shared" si="17"/>
        <v>04</v>
      </c>
      <c r="AB191" s="26" t="str">
        <f t="shared" si="15"/>
        <v>2024</v>
      </c>
    </row>
    <row r="192" spans="1:28" x14ac:dyDescent="0.25">
      <c r="A192" s="30">
        <v>45397</v>
      </c>
      <c r="B192" s="26" t="s">
        <v>340</v>
      </c>
      <c r="C192" s="26" t="s">
        <v>2</v>
      </c>
      <c r="D192" s="26" t="s">
        <v>341</v>
      </c>
      <c r="E192" s="26" t="s">
        <v>142</v>
      </c>
      <c r="F192" s="28" t="s">
        <v>343</v>
      </c>
      <c r="G192" s="26" t="s">
        <v>160</v>
      </c>
      <c r="H192" s="26" t="s">
        <v>344</v>
      </c>
      <c r="I192" s="26" t="s">
        <v>160</v>
      </c>
      <c r="J192" s="30">
        <v>45399</v>
      </c>
      <c r="K192" s="26" t="s">
        <v>546</v>
      </c>
      <c r="L192" s="26" t="s">
        <v>342</v>
      </c>
      <c r="M192" s="30">
        <v>45399</v>
      </c>
      <c r="N192" s="26" t="s">
        <v>342</v>
      </c>
      <c r="O192" s="26" t="s">
        <v>141</v>
      </c>
      <c r="P192" s="31">
        <v>15</v>
      </c>
      <c r="Q192" s="31"/>
      <c r="R192" s="26" t="s">
        <v>547</v>
      </c>
      <c r="S192" s="26" t="s">
        <v>548</v>
      </c>
      <c r="T192" s="31" t="s">
        <v>549</v>
      </c>
      <c r="U192" s="26" t="s">
        <v>550</v>
      </c>
      <c r="V192" s="26">
        <f t="shared" si="12"/>
        <v>1</v>
      </c>
      <c r="W192" s="26">
        <f t="shared" si="16"/>
        <v>1</v>
      </c>
      <c r="X192" s="26">
        <f>Data_Base[[#This Row],[B.N Total]]-Data_Base[[#This Row],[Nbre Brachements exécuté]]</f>
        <v>0</v>
      </c>
      <c r="Y192" s="26" t="str">
        <f t="shared" si="13"/>
        <v>lundi</v>
      </c>
      <c r="Z192" s="26" t="str">
        <f t="shared" si="14"/>
        <v>15</v>
      </c>
      <c r="AA192" s="26" t="str">
        <f t="shared" si="17"/>
        <v>04</v>
      </c>
      <c r="AB192" s="26" t="str">
        <f t="shared" si="15"/>
        <v>2024</v>
      </c>
    </row>
    <row r="193" spans="1:28" x14ac:dyDescent="0.25">
      <c r="A193" s="30">
        <v>45397</v>
      </c>
      <c r="B193" s="26" t="s">
        <v>345</v>
      </c>
      <c r="C193" s="26" t="s">
        <v>2</v>
      </c>
      <c r="D193" s="26" t="s">
        <v>346</v>
      </c>
      <c r="E193" s="26" t="s">
        <v>142</v>
      </c>
      <c r="F193" s="28" t="s">
        <v>348</v>
      </c>
      <c r="G193" s="26" t="s">
        <v>160</v>
      </c>
      <c r="H193" s="26" t="s">
        <v>344</v>
      </c>
      <c r="I193" s="26" t="s">
        <v>160</v>
      </c>
      <c r="J193" s="30">
        <v>45399</v>
      </c>
      <c r="K193" s="26" t="s">
        <v>546</v>
      </c>
      <c r="L193" s="26" t="s">
        <v>347</v>
      </c>
      <c r="M193" s="30">
        <v>45399</v>
      </c>
      <c r="N193" s="26" t="s">
        <v>347</v>
      </c>
      <c r="O193" s="26" t="s">
        <v>141</v>
      </c>
      <c r="P193" s="31">
        <v>15</v>
      </c>
      <c r="Q193" s="31"/>
      <c r="R193" s="26" t="s">
        <v>547</v>
      </c>
      <c r="S193" s="26" t="s">
        <v>548</v>
      </c>
      <c r="T193" s="31" t="s">
        <v>549</v>
      </c>
      <c r="U193" s="26" t="s">
        <v>550</v>
      </c>
      <c r="V193" s="26">
        <f t="shared" si="12"/>
        <v>1</v>
      </c>
      <c r="W193" s="26">
        <f t="shared" si="16"/>
        <v>1</v>
      </c>
      <c r="X193" s="26">
        <f>Data_Base[[#This Row],[B.N Total]]-Data_Base[[#This Row],[Nbre Brachements exécuté]]</f>
        <v>0</v>
      </c>
      <c r="Y193" s="26" t="str">
        <f t="shared" si="13"/>
        <v>lundi</v>
      </c>
      <c r="Z193" s="26" t="str">
        <f t="shared" si="14"/>
        <v>15</v>
      </c>
      <c r="AA193" s="26" t="str">
        <f t="shared" si="17"/>
        <v>04</v>
      </c>
      <c r="AB193" s="26" t="str">
        <f t="shared" si="15"/>
        <v>2024</v>
      </c>
    </row>
    <row r="194" spans="1:28" x14ac:dyDescent="0.25">
      <c r="A194" s="30">
        <v>45397</v>
      </c>
      <c r="B194" s="26" t="s">
        <v>349</v>
      </c>
      <c r="C194" s="26" t="s">
        <v>2</v>
      </c>
      <c r="D194" s="26" t="s">
        <v>350</v>
      </c>
      <c r="E194" s="26" t="s">
        <v>142</v>
      </c>
      <c r="F194" s="28" t="s">
        <v>352</v>
      </c>
      <c r="G194" s="26" t="s">
        <v>164</v>
      </c>
      <c r="H194" s="26" t="s">
        <v>165</v>
      </c>
      <c r="I194" s="26" t="s">
        <v>164</v>
      </c>
      <c r="J194" s="30">
        <v>45399</v>
      </c>
      <c r="K194" s="26" t="s">
        <v>546</v>
      </c>
      <c r="L194" s="26" t="s">
        <v>351</v>
      </c>
      <c r="M194" s="30">
        <v>45399</v>
      </c>
      <c r="N194" s="26" t="s">
        <v>351</v>
      </c>
      <c r="O194" s="26" t="s">
        <v>290</v>
      </c>
      <c r="P194" s="31">
        <v>30</v>
      </c>
      <c r="Q194" s="31"/>
      <c r="R194" s="26" t="s">
        <v>547</v>
      </c>
      <c r="S194" s="26" t="s">
        <v>548</v>
      </c>
      <c r="T194" s="31" t="s">
        <v>549</v>
      </c>
      <c r="U194" s="26" t="s">
        <v>550</v>
      </c>
      <c r="V194" s="26">
        <f t="shared" ref="V194:V257" si="18">COUNTA(B194)</f>
        <v>1</v>
      </c>
      <c r="W194" s="26">
        <f t="shared" si="16"/>
        <v>1</v>
      </c>
      <c r="X194" s="26">
        <f>Data_Base[[#This Row],[B.N Total]]-Data_Base[[#This Row],[Nbre Brachements exécuté]]</f>
        <v>0</v>
      </c>
      <c r="Y194" s="26" t="str">
        <f t="shared" ref="Y194:Y257" si="19">IF(A194=""," ",TEXT(A194,"jjjj"))</f>
        <v>lundi</v>
      </c>
      <c r="Z194" s="26" t="str">
        <f t="shared" ref="Z194:Z257" si="20">IF(A194="","",TEXT(A194,"jj"))</f>
        <v>15</v>
      </c>
      <c r="AA194" s="26" t="str">
        <f t="shared" si="17"/>
        <v>04</v>
      </c>
      <c r="AB194" s="26" t="str">
        <f t="shared" ref="AB194:AB257" si="21">IF(A194=""," ",TEXT(A194,"aaaa"))</f>
        <v>2024</v>
      </c>
    </row>
    <row r="195" spans="1:28" x14ac:dyDescent="0.25">
      <c r="A195" s="30">
        <v>45397</v>
      </c>
      <c r="B195" s="26" t="s">
        <v>366</v>
      </c>
      <c r="C195" s="26" t="s">
        <v>66</v>
      </c>
      <c r="D195" s="26" t="s">
        <v>367</v>
      </c>
      <c r="E195" s="26" t="s">
        <v>142</v>
      </c>
      <c r="F195" s="28" t="s">
        <v>369</v>
      </c>
      <c r="G195" s="26" t="s">
        <v>160</v>
      </c>
      <c r="H195" s="26" t="s">
        <v>161</v>
      </c>
      <c r="I195" s="26" t="s">
        <v>160</v>
      </c>
      <c r="J195" s="30">
        <v>45399</v>
      </c>
      <c r="K195" s="26" t="s">
        <v>546</v>
      </c>
      <c r="L195" s="26" t="s">
        <v>368</v>
      </c>
      <c r="M195" s="30">
        <v>45399</v>
      </c>
      <c r="N195" s="26" t="s">
        <v>368</v>
      </c>
      <c r="O195" s="26" t="s">
        <v>238</v>
      </c>
      <c r="P195" s="31">
        <v>30</v>
      </c>
      <c r="Q195" s="31"/>
      <c r="R195" s="26" t="s">
        <v>547</v>
      </c>
      <c r="S195" s="26" t="s">
        <v>548</v>
      </c>
      <c r="T195" s="31" t="s">
        <v>549</v>
      </c>
      <c r="U195" s="26" t="s">
        <v>550</v>
      </c>
      <c r="V195" s="26">
        <f t="shared" si="18"/>
        <v>1</v>
      </c>
      <c r="W195" s="26">
        <f t="shared" ref="W195:W258" si="22">COUNTA(N195)</f>
        <v>1</v>
      </c>
      <c r="X195" s="26">
        <f>Data_Base[[#This Row],[B.N Total]]-Data_Base[[#This Row],[Nbre Brachements exécuté]]</f>
        <v>0</v>
      </c>
      <c r="Y195" s="26" t="str">
        <f t="shared" si="19"/>
        <v>lundi</v>
      </c>
      <c r="Z195" s="26" t="str">
        <f t="shared" si="20"/>
        <v>15</v>
      </c>
      <c r="AA195" s="26" t="str">
        <f t="shared" ref="AA195:AA258" si="23">IF(A195=""," ",TEXT(A195,"mm"))</f>
        <v>04</v>
      </c>
      <c r="AB195" s="26" t="str">
        <f t="shared" si="21"/>
        <v>2024</v>
      </c>
    </row>
    <row r="196" spans="1:28" x14ac:dyDescent="0.25">
      <c r="A196" s="30">
        <v>45397</v>
      </c>
      <c r="B196" s="26" t="s">
        <v>370</v>
      </c>
      <c r="C196" s="26" t="s">
        <v>66</v>
      </c>
      <c r="D196" s="26" t="s">
        <v>371</v>
      </c>
      <c r="E196" s="26" t="s">
        <v>142</v>
      </c>
      <c r="F196" s="28" t="s">
        <v>373</v>
      </c>
      <c r="G196" s="26" t="s">
        <v>160</v>
      </c>
      <c r="H196" s="26" t="s">
        <v>344</v>
      </c>
      <c r="I196" s="26" t="s">
        <v>160</v>
      </c>
      <c r="J196" s="30">
        <v>45399</v>
      </c>
      <c r="K196" s="26" t="s">
        <v>546</v>
      </c>
      <c r="L196" s="26" t="s">
        <v>372</v>
      </c>
      <c r="M196" s="30">
        <v>45399</v>
      </c>
      <c r="N196" s="26" t="s">
        <v>372</v>
      </c>
      <c r="O196" s="26" t="s">
        <v>141</v>
      </c>
      <c r="P196" s="31">
        <v>30</v>
      </c>
      <c r="Q196" s="31"/>
      <c r="R196" s="26" t="s">
        <v>547</v>
      </c>
      <c r="S196" s="26" t="s">
        <v>548</v>
      </c>
      <c r="T196" s="31" t="s">
        <v>549</v>
      </c>
      <c r="U196" s="26" t="s">
        <v>550</v>
      </c>
      <c r="V196" s="26">
        <f t="shared" si="18"/>
        <v>1</v>
      </c>
      <c r="W196" s="26">
        <f t="shared" si="22"/>
        <v>1</v>
      </c>
      <c r="X196" s="26">
        <f>Data_Base[[#This Row],[B.N Total]]-Data_Base[[#This Row],[Nbre Brachements exécuté]]</f>
        <v>0</v>
      </c>
      <c r="Y196" s="26" t="str">
        <f t="shared" si="19"/>
        <v>lundi</v>
      </c>
      <c r="Z196" s="26" t="str">
        <f t="shared" si="20"/>
        <v>15</v>
      </c>
      <c r="AA196" s="26" t="str">
        <f t="shared" si="23"/>
        <v>04</v>
      </c>
      <c r="AB196" s="26" t="str">
        <f t="shared" si="21"/>
        <v>2024</v>
      </c>
    </row>
    <row r="197" spans="1:28" x14ac:dyDescent="0.25">
      <c r="A197" s="30">
        <v>45397</v>
      </c>
      <c r="B197" s="26" t="s">
        <v>374</v>
      </c>
      <c r="C197" s="26" t="s">
        <v>66</v>
      </c>
      <c r="D197" s="26" t="s">
        <v>375</v>
      </c>
      <c r="E197" s="26" t="s">
        <v>142</v>
      </c>
      <c r="F197" s="28" t="s">
        <v>377</v>
      </c>
      <c r="G197" s="26" t="s">
        <v>160</v>
      </c>
      <c r="H197" s="26" t="s">
        <v>325</v>
      </c>
      <c r="I197" s="26" t="s">
        <v>160</v>
      </c>
      <c r="J197" s="30">
        <v>45399</v>
      </c>
      <c r="K197" s="26" t="s">
        <v>546</v>
      </c>
      <c r="L197" s="26" t="s">
        <v>376</v>
      </c>
      <c r="M197" s="30">
        <v>45399</v>
      </c>
      <c r="N197" s="26" t="s">
        <v>376</v>
      </c>
      <c r="O197" s="26" t="s">
        <v>141</v>
      </c>
      <c r="P197" s="31">
        <v>30</v>
      </c>
      <c r="Q197" s="31"/>
      <c r="R197" s="26" t="s">
        <v>547</v>
      </c>
      <c r="S197" s="26" t="s">
        <v>548</v>
      </c>
      <c r="T197" s="31" t="s">
        <v>549</v>
      </c>
      <c r="U197" s="26" t="s">
        <v>550</v>
      </c>
      <c r="V197" s="26">
        <f t="shared" si="18"/>
        <v>1</v>
      </c>
      <c r="W197" s="26">
        <f t="shared" si="22"/>
        <v>1</v>
      </c>
      <c r="X197" s="26">
        <f>Data_Base[[#This Row],[B.N Total]]-Data_Base[[#This Row],[Nbre Brachements exécuté]]</f>
        <v>0</v>
      </c>
      <c r="Y197" s="26" t="str">
        <f t="shared" si="19"/>
        <v>lundi</v>
      </c>
      <c r="Z197" s="26" t="str">
        <f t="shared" si="20"/>
        <v>15</v>
      </c>
      <c r="AA197" s="26" t="str">
        <f t="shared" si="23"/>
        <v>04</v>
      </c>
      <c r="AB197" s="26" t="str">
        <f t="shared" si="21"/>
        <v>2024</v>
      </c>
    </row>
    <row r="198" spans="1:28" x14ac:dyDescent="0.25">
      <c r="A198" s="30">
        <v>45397</v>
      </c>
      <c r="B198" s="26" t="s">
        <v>378</v>
      </c>
      <c r="C198" s="26" t="s">
        <v>2</v>
      </c>
      <c r="D198" s="26" t="s">
        <v>379</v>
      </c>
      <c r="E198" s="26" t="s">
        <v>142</v>
      </c>
      <c r="F198" s="28" t="s">
        <v>381</v>
      </c>
      <c r="G198" s="26" t="s">
        <v>160</v>
      </c>
      <c r="H198" s="26" t="s">
        <v>161</v>
      </c>
      <c r="I198" s="26" t="s">
        <v>160</v>
      </c>
      <c r="J198" s="30">
        <v>45399</v>
      </c>
      <c r="K198" s="26" t="s">
        <v>546</v>
      </c>
      <c r="L198" s="26" t="s">
        <v>380</v>
      </c>
      <c r="M198" s="30">
        <v>45399</v>
      </c>
      <c r="N198" s="26" t="s">
        <v>380</v>
      </c>
      <c r="O198" s="26" t="s">
        <v>141</v>
      </c>
      <c r="P198" s="31">
        <v>15</v>
      </c>
      <c r="Q198" s="31"/>
      <c r="R198" s="26" t="s">
        <v>547</v>
      </c>
      <c r="S198" s="26" t="s">
        <v>548</v>
      </c>
      <c r="T198" s="31" t="s">
        <v>549</v>
      </c>
      <c r="U198" s="26" t="s">
        <v>550</v>
      </c>
      <c r="V198" s="26">
        <f t="shared" si="18"/>
        <v>1</v>
      </c>
      <c r="W198" s="26">
        <f t="shared" si="22"/>
        <v>1</v>
      </c>
      <c r="X198" s="26">
        <f>Data_Base[[#This Row],[B.N Total]]-Data_Base[[#This Row],[Nbre Brachements exécuté]]</f>
        <v>0</v>
      </c>
      <c r="Y198" s="26" t="str">
        <f t="shared" si="19"/>
        <v>lundi</v>
      </c>
      <c r="Z198" s="26" t="str">
        <f t="shared" si="20"/>
        <v>15</v>
      </c>
      <c r="AA198" s="26" t="str">
        <f t="shared" si="23"/>
        <v>04</v>
      </c>
      <c r="AB198" s="26" t="str">
        <f t="shared" si="21"/>
        <v>2024</v>
      </c>
    </row>
    <row r="199" spans="1:28" x14ac:dyDescent="0.25">
      <c r="A199" s="30">
        <v>45397</v>
      </c>
      <c r="B199" s="26" t="s">
        <v>382</v>
      </c>
      <c r="C199" s="26" t="s">
        <v>3</v>
      </c>
      <c r="D199" s="26" t="s">
        <v>383</v>
      </c>
      <c r="E199" s="26" t="s">
        <v>142</v>
      </c>
      <c r="F199" s="28" t="s">
        <v>385</v>
      </c>
      <c r="G199" s="26" t="s">
        <v>160</v>
      </c>
      <c r="H199" s="26" t="s">
        <v>161</v>
      </c>
      <c r="I199" s="26" t="s">
        <v>160</v>
      </c>
      <c r="J199" s="30">
        <v>45399</v>
      </c>
      <c r="K199" s="26" t="s">
        <v>546</v>
      </c>
      <c r="L199" s="26" t="s">
        <v>384</v>
      </c>
      <c r="M199" s="30">
        <v>45399</v>
      </c>
      <c r="N199" s="26" t="s">
        <v>384</v>
      </c>
      <c r="O199" s="26" t="s">
        <v>141</v>
      </c>
      <c r="P199" s="31">
        <v>15</v>
      </c>
      <c r="Q199" s="31"/>
      <c r="R199" s="26" t="s">
        <v>547</v>
      </c>
      <c r="S199" s="26" t="s">
        <v>548</v>
      </c>
      <c r="T199" s="31" t="s">
        <v>549</v>
      </c>
      <c r="U199" s="26" t="s">
        <v>550</v>
      </c>
      <c r="V199" s="26">
        <f t="shared" si="18"/>
        <v>1</v>
      </c>
      <c r="W199" s="26">
        <f t="shared" si="22"/>
        <v>1</v>
      </c>
      <c r="X199" s="26">
        <f>Data_Base[[#This Row],[B.N Total]]-Data_Base[[#This Row],[Nbre Brachements exécuté]]</f>
        <v>0</v>
      </c>
      <c r="Y199" s="26" t="str">
        <f t="shared" si="19"/>
        <v>lundi</v>
      </c>
      <c r="Z199" s="26" t="str">
        <f t="shared" si="20"/>
        <v>15</v>
      </c>
      <c r="AA199" s="26" t="str">
        <f t="shared" si="23"/>
        <v>04</v>
      </c>
      <c r="AB199" s="26" t="str">
        <f t="shared" si="21"/>
        <v>2024</v>
      </c>
    </row>
    <row r="200" spans="1:28" x14ac:dyDescent="0.25">
      <c r="A200" s="30">
        <v>45397</v>
      </c>
      <c r="B200" s="26" t="s">
        <v>370</v>
      </c>
      <c r="C200" s="26" t="s">
        <v>66</v>
      </c>
      <c r="D200" s="26" t="s">
        <v>393</v>
      </c>
      <c r="E200" s="26" t="s">
        <v>142</v>
      </c>
      <c r="F200" s="28" t="s">
        <v>373</v>
      </c>
      <c r="G200" s="26" t="s">
        <v>160</v>
      </c>
      <c r="H200" s="26" t="s">
        <v>344</v>
      </c>
      <c r="I200" s="26" t="s">
        <v>160</v>
      </c>
      <c r="J200" s="30">
        <v>45391</v>
      </c>
      <c r="K200" s="26" t="s">
        <v>546</v>
      </c>
      <c r="L200" s="26" t="s">
        <v>394</v>
      </c>
      <c r="M200" s="30">
        <v>45391</v>
      </c>
      <c r="N200" s="26" t="s">
        <v>394</v>
      </c>
      <c r="O200" s="26" t="s">
        <v>141</v>
      </c>
      <c r="P200" s="31">
        <v>30</v>
      </c>
      <c r="Q200" s="31"/>
      <c r="R200" s="26" t="s">
        <v>547</v>
      </c>
      <c r="S200" s="26" t="s">
        <v>548</v>
      </c>
      <c r="T200" s="31" t="s">
        <v>549</v>
      </c>
      <c r="U200" s="26" t="s">
        <v>550</v>
      </c>
      <c r="V200" s="26">
        <f t="shared" si="18"/>
        <v>1</v>
      </c>
      <c r="W200" s="26">
        <f t="shared" si="22"/>
        <v>1</v>
      </c>
      <c r="X200" s="26">
        <f>Data_Base[[#This Row],[B.N Total]]-Data_Base[[#This Row],[Nbre Brachements exécuté]]</f>
        <v>0</v>
      </c>
      <c r="Y200" s="26" t="str">
        <f t="shared" si="19"/>
        <v>lundi</v>
      </c>
      <c r="Z200" s="26" t="str">
        <f t="shared" si="20"/>
        <v>15</v>
      </c>
      <c r="AA200" s="26" t="str">
        <f t="shared" si="23"/>
        <v>04</v>
      </c>
      <c r="AB200" s="26" t="str">
        <f t="shared" si="21"/>
        <v>2024</v>
      </c>
    </row>
    <row r="201" spans="1:28" x14ac:dyDescent="0.25">
      <c r="A201" s="30">
        <v>45397</v>
      </c>
      <c r="B201" s="26" t="s">
        <v>395</v>
      </c>
      <c r="C201" s="26" t="s">
        <v>2</v>
      </c>
      <c r="D201" s="26" t="s">
        <v>396</v>
      </c>
      <c r="E201" s="26" t="s">
        <v>142</v>
      </c>
      <c r="F201" s="28" t="s">
        <v>398</v>
      </c>
      <c r="G201" s="26" t="s">
        <v>164</v>
      </c>
      <c r="H201" s="26" t="s">
        <v>221</v>
      </c>
      <c r="I201" s="26" t="s">
        <v>164</v>
      </c>
      <c r="J201" s="30">
        <v>45399</v>
      </c>
      <c r="K201" s="26" t="s">
        <v>546</v>
      </c>
      <c r="L201" s="26" t="s">
        <v>397</v>
      </c>
      <c r="M201" s="30">
        <v>45399</v>
      </c>
      <c r="N201" s="26" t="s">
        <v>397</v>
      </c>
      <c r="O201" s="26" t="s">
        <v>141</v>
      </c>
      <c r="P201" s="31">
        <v>15</v>
      </c>
      <c r="Q201" s="31"/>
      <c r="R201" s="26" t="s">
        <v>547</v>
      </c>
      <c r="S201" s="26" t="s">
        <v>548</v>
      </c>
      <c r="T201" s="31" t="s">
        <v>549</v>
      </c>
      <c r="U201" s="26" t="s">
        <v>550</v>
      </c>
      <c r="V201" s="26">
        <f t="shared" si="18"/>
        <v>1</v>
      </c>
      <c r="W201" s="26">
        <f t="shared" si="22"/>
        <v>1</v>
      </c>
      <c r="X201" s="26">
        <f>Data_Base[[#This Row],[B.N Total]]-Data_Base[[#This Row],[Nbre Brachements exécuté]]</f>
        <v>0</v>
      </c>
      <c r="Y201" s="26" t="str">
        <f t="shared" si="19"/>
        <v>lundi</v>
      </c>
      <c r="Z201" s="26" t="str">
        <f t="shared" si="20"/>
        <v>15</v>
      </c>
      <c r="AA201" s="26" t="str">
        <f t="shared" si="23"/>
        <v>04</v>
      </c>
      <c r="AB201" s="26" t="str">
        <f t="shared" si="21"/>
        <v>2024</v>
      </c>
    </row>
    <row r="202" spans="1:28" x14ac:dyDescent="0.25">
      <c r="A202" s="30">
        <v>45397</v>
      </c>
      <c r="B202" s="26" t="s">
        <v>399</v>
      </c>
      <c r="C202" s="26" t="s">
        <v>66</v>
      </c>
      <c r="D202" s="26" t="s">
        <v>400</v>
      </c>
      <c r="E202" s="26" t="s">
        <v>142</v>
      </c>
      <c r="F202" s="28" t="s">
        <v>402</v>
      </c>
      <c r="G202" s="26" t="s">
        <v>164</v>
      </c>
      <c r="H202" s="26" t="s">
        <v>165</v>
      </c>
      <c r="I202" s="26" t="s">
        <v>164</v>
      </c>
      <c r="J202" s="30">
        <v>45399</v>
      </c>
      <c r="K202" s="26" t="s">
        <v>546</v>
      </c>
      <c r="L202" s="26" t="s">
        <v>401</v>
      </c>
      <c r="M202" s="30">
        <v>45399</v>
      </c>
      <c r="N202" s="26" t="s">
        <v>401</v>
      </c>
      <c r="O202" s="26" t="s">
        <v>141</v>
      </c>
      <c r="P202" s="31">
        <v>30</v>
      </c>
      <c r="Q202" s="31"/>
      <c r="R202" s="26" t="s">
        <v>547</v>
      </c>
      <c r="S202" s="26" t="s">
        <v>548</v>
      </c>
      <c r="T202" s="31" t="s">
        <v>549</v>
      </c>
      <c r="U202" s="26" t="s">
        <v>550</v>
      </c>
      <c r="V202" s="26">
        <f t="shared" si="18"/>
        <v>1</v>
      </c>
      <c r="W202" s="26">
        <f t="shared" si="22"/>
        <v>1</v>
      </c>
      <c r="X202" s="26">
        <f>Data_Base[[#This Row],[B.N Total]]-Data_Base[[#This Row],[Nbre Brachements exécuté]]</f>
        <v>0</v>
      </c>
      <c r="Y202" s="26" t="str">
        <f t="shared" si="19"/>
        <v>lundi</v>
      </c>
      <c r="Z202" s="26" t="str">
        <f t="shared" si="20"/>
        <v>15</v>
      </c>
      <c r="AA202" s="26" t="str">
        <f t="shared" si="23"/>
        <v>04</v>
      </c>
      <c r="AB202" s="26" t="str">
        <f t="shared" si="21"/>
        <v>2024</v>
      </c>
    </row>
    <row r="203" spans="1:28" x14ac:dyDescent="0.25">
      <c r="A203" s="30">
        <v>45397</v>
      </c>
      <c r="B203" s="26" t="s">
        <v>479</v>
      </c>
      <c r="C203" s="26" t="s">
        <v>2</v>
      </c>
      <c r="D203" s="26" t="s">
        <v>480</v>
      </c>
      <c r="E203" s="26"/>
      <c r="G203" s="26"/>
      <c r="H203" s="26"/>
      <c r="I203" s="26"/>
      <c r="J203" s="30"/>
      <c r="K203" s="26"/>
      <c r="M203" s="30"/>
      <c r="O203" s="26"/>
      <c r="P203" s="31"/>
      <c r="Q203" s="31"/>
      <c r="R203" s="26"/>
      <c r="S203" s="26"/>
      <c r="T203" s="31"/>
      <c r="U203" s="26"/>
      <c r="V203" s="26">
        <f t="shared" si="18"/>
        <v>1</v>
      </c>
      <c r="W203" s="26">
        <f t="shared" si="22"/>
        <v>0</v>
      </c>
      <c r="X203" s="26">
        <f>Data_Base[[#This Row],[B.N Total]]-Data_Base[[#This Row],[Nbre Brachements exécuté]]</f>
        <v>1</v>
      </c>
      <c r="Y203" s="26" t="str">
        <f t="shared" si="19"/>
        <v>lundi</v>
      </c>
      <c r="Z203" s="26" t="str">
        <f t="shared" si="20"/>
        <v>15</v>
      </c>
      <c r="AA203" s="26" t="str">
        <f t="shared" si="23"/>
        <v>04</v>
      </c>
      <c r="AB203" s="26" t="str">
        <f t="shared" si="21"/>
        <v>2024</v>
      </c>
    </row>
    <row r="204" spans="1:28" x14ac:dyDescent="0.25">
      <c r="A204" s="30">
        <v>45418</v>
      </c>
      <c r="B204" s="26" t="s">
        <v>481</v>
      </c>
      <c r="C204" s="26" t="s">
        <v>2</v>
      </c>
      <c r="D204" s="26" t="s">
        <v>614</v>
      </c>
      <c r="E204" s="26" t="s">
        <v>142</v>
      </c>
      <c r="F204" s="28" t="s">
        <v>615</v>
      </c>
      <c r="G204" s="26" t="s">
        <v>160</v>
      </c>
      <c r="H204" s="26" t="s">
        <v>325</v>
      </c>
      <c r="I204" s="26" t="s">
        <v>579</v>
      </c>
      <c r="J204" s="30">
        <v>45419</v>
      </c>
      <c r="K204" s="26" t="s">
        <v>546</v>
      </c>
      <c r="M204" s="30"/>
      <c r="O204" s="26"/>
      <c r="P204" s="31"/>
      <c r="Q204" s="31"/>
      <c r="R204" s="26"/>
      <c r="S204" s="26"/>
      <c r="T204" s="31"/>
      <c r="U204" s="26" t="s">
        <v>549</v>
      </c>
      <c r="V204" s="26">
        <f t="shared" si="18"/>
        <v>1</v>
      </c>
      <c r="W204" s="26">
        <f t="shared" si="22"/>
        <v>0</v>
      </c>
      <c r="X204" s="26">
        <f>Data_Base[[#This Row],[B.N Total]]-Data_Base[[#This Row],[Nbre Brachements exécuté]]</f>
        <v>1</v>
      </c>
      <c r="Y204" s="26" t="str">
        <f t="shared" si="19"/>
        <v>lundi</v>
      </c>
      <c r="Z204" s="26" t="str">
        <f t="shared" si="20"/>
        <v>06</v>
      </c>
      <c r="AA204" s="26" t="str">
        <f t="shared" si="23"/>
        <v>05</v>
      </c>
      <c r="AB204" s="26" t="str">
        <f t="shared" si="21"/>
        <v>2024</v>
      </c>
    </row>
    <row r="205" spans="1:28" x14ac:dyDescent="0.25">
      <c r="A205" s="30">
        <v>45418</v>
      </c>
      <c r="B205" s="26" t="s">
        <v>503</v>
      </c>
      <c r="C205" s="26" t="s">
        <v>66</v>
      </c>
      <c r="D205" s="26" t="s">
        <v>504</v>
      </c>
      <c r="E205" s="26"/>
      <c r="G205" s="26"/>
      <c r="H205" s="26"/>
      <c r="I205" s="26"/>
      <c r="J205" s="30"/>
      <c r="K205" s="26"/>
      <c r="M205" s="30"/>
      <c r="O205" s="26"/>
      <c r="P205" s="31"/>
      <c r="Q205" s="31"/>
      <c r="R205" s="26"/>
      <c r="S205" s="26"/>
      <c r="T205" s="31"/>
      <c r="U205" s="26"/>
      <c r="V205" s="26">
        <f t="shared" si="18"/>
        <v>1</v>
      </c>
      <c r="W205" s="26">
        <f t="shared" si="22"/>
        <v>0</v>
      </c>
      <c r="X205" s="26">
        <f>Data_Base[[#This Row],[B.N Total]]-Data_Base[[#This Row],[Nbre Brachements exécuté]]</f>
        <v>1</v>
      </c>
      <c r="Y205" s="26" t="str">
        <f t="shared" si="19"/>
        <v>lundi</v>
      </c>
      <c r="Z205" s="26" t="str">
        <f t="shared" si="20"/>
        <v>06</v>
      </c>
      <c r="AA205" s="26" t="str">
        <f t="shared" si="23"/>
        <v>05</v>
      </c>
      <c r="AB205" s="26" t="str">
        <f t="shared" si="21"/>
        <v>2024</v>
      </c>
    </row>
    <row r="206" spans="1:28" x14ac:dyDescent="0.25">
      <c r="A206" s="30">
        <v>45418</v>
      </c>
      <c r="B206" s="26" t="s">
        <v>505</v>
      </c>
      <c r="C206" s="26" t="s">
        <v>66</v>
      </c>
      <c r="D206" s="26" t="s">
        <v>506</v>
      </c>
      <c r="E206" s="26"/>
      <c r="G206" s="26"/>
      <c r="H206" s="26"/>
      <c r="I206" s="26"/>
      <c r="J206" s="30"/>
      <c r="K206" s="26"/>
      <c r="M206" s="30"/>
      <c r="O206" s="26"/>
      <c r="P206" s="31"/>
      <c r="Q206" s="31"/>
      <c r="R206" s="26"/>
      <c r="S206" s="26"/>
      <c r="T206" s="31"/>
      <c r="U206" s="26"/>
      <c r="V206" s="26">
        <f t="shared" si="18"/>
        <v>1</v>
      </c>
      <c r="W206" s="26">
        <f t="shared" si="22"/>
        <v>0</v>
      </c>
      <c r="X206" s="26">
        <f>Data_Base[[#This Row],[B.N Total]]-Data_Base[[#This Row],[Nbre Brachements exécuté]]</f>
        <v>1</v>
      </c>
      <c r="Y206" s="26" t="str">
        <f t="shared" si="19"/>
        <v>lundi</v>
      </c>
      <c r="Z206" s="26" t="str">
        <f t="shared" si="20"/>
        <v>06</v>
      </c>
      <c r="AA206" s="26" t="str">
        <f t="shared" si="23"/>
        <v>05</v>
      </c>
      <c r="AB206" s="26" t="str">
        <f t="shared" si="21"/>
        <v>2024</v>
      </c>
    </row>
    <row r="207" spans="1:28" x14ac:dyDescent="0.25">
      <c r="A207" s="30">
        <v>45418</v>
      </c>
      <c r="B207" s="26" t="s">
        <v>505</v>
      </c>
      <c r="C207" s="26" t="s">
        <v>66</v>
      </c>
      <c r="D207" s="26" t="s">
        <v>507</v>
      </c>
      <c r="E207" s="26"/>
      <c r="G207" s="26"/>
      <c r="H207" s="26"/>
      <c r="I207" s="26"/>
      <c r="J207" s="30"/>
      <c r="K207" s="26"/>
      <c r="M207" s="30"/>
      <c r="O207" s="26"/>
      <c r="P207" s="31"/>
      <c r="Q207" s="31"/>
      <c r="R207" s="26"/>
      <c r="S207" s="26"/>
      <c r="T207" s="31"/>
      <c r="U207" s="26"/>
      <c r="V207" s="26">
        <f t="shared" si="18"/>
        <v>1</v>
      </c>
      <c r="W207" s="26">
        <f t="shared" si="22"/>
        <v>0</v>
      </c>
      <c r="X207" s="26">
        <f>Data_Base[[#This Row],[B.N Total]]-Data_Base[[#This Row],[Nbre Brachements exécuté]]</f>
        <v>1</v>
      </c>
      <c r="Y207" s="26" t="str">
        <f t="shared" si="19"/>
        <v>lundi</v>
      </c>
      <c r="Z207" s="26" t="str">
        <f t="shared" si="20"/>
        <v>06</v>
      </c>
      <c r="AA207" s="26" t="str">
        <f t="shared" si="23"/>
        <v>05</v>
      </c>
      <c r="AB207" s="26" t="str">
        <f t="shared" si="21"/>
        <v>2024</v>
      </c>
    </row>
    <row r="208" spans="1:28" x14ac:dyDescent="0.25">
      <c r="A208" s="30">
        <v>45418</v>
      </c>
      <c r="B208" s="26" t="s">
        <v>508</v>
      </c>
      <c r="C208" s="26" t="s">
        <v>3</v>
      </c>
      <c r="D208" s="26" t="s">
        <v>509</v>
      </c>
      <c r="E208" s="26"/>
      <c r="G208" s="26"/>
      <c r="H208" s="26"/>
      <c r="I208" s="26"/>
      <c r="J208" s="30"/>
      <c r="K208" s="26"/>
      <c r="M208" s="30"/>
      <c r="O208" s="26"/>
      <c r="P208" s="31"/>
      <c r="Q208" s="31"/>
      <c r="R208" s="26"/>
      <c r="S208" s="26"/>
      <c r="T208" s="31"/>
      <c r="U208" s="26"/>
      <c r="V208" s="26">
        <f t="shared" si="18"/>
        <v>1</v>
      </c>
      <c r="W208" s="26">
        <f t="shared" si="22"/>
        <v>0</v>
      </c>
      <c r="X208" s="26">
        <f>Data_Base[[#This Row],[B.N Total]]-Data_Base[[#This Row],[Nbre Brachements exécuté]]</f>
        <v>1</v>
      </c>
      <c r="Y208" s="26" t="str">
        <f t="shared" si="19"/>
        <v>lundi</v>
      </c>
      <c r="Z208" s="26" t="str">
        <f t="shared" si="20"/>
        <v>06</v>
      </c>
      <c r="AA208" s="26" t="str">
        <f t="shared" si="23"/>
        <v>05</v>
      </c>
      <c r="AB208" s="26" t="str">
        <f t="shared" si="21"/>
        <v>2024</v>
      </c>
    </row>
    <row r="209" spans="1:28" x14ac:dyDescent="0.25">
      <c r="A209" s="30">
        <v>45418</v>
      </c>
      <c r="B209" s="26" t="s">
        <v>516</v>
      </c>
      <c r="C209" s="26" t="s">
        <v>3</v>
      </c>
      <c r="D209" s="26" t="s">
        <v>517</v>
      </c>
      <c r="E209" s="26" t="s">
        <v>616</v>
      </c>
      <c r="F209" s="28" t="s">
        <v>617</v>
      </c>
      <c r="G209" s="26" t="s">
        <v>160</v>
      </c>
      <c r="H209" s="26" t="s">
        <v>325</v>
      </c>
      <c r="I209" s="26" t="s">
        <v>160</v>
      </c>
      <c r="J209" s="30">
        <v>45407</v>
      </c>
      <c r="K209" s="26" t="s">
        <v>546</v>
      </c>
      <c r="L209" s="26" t="s">
        <v>618</v>
      </c>
      <c r="M209" s="30">
        <v>45407</v>
      </c>
      <c r="N209" s="26" t="s">
        <v>618</v>
      </c>
      <c r="O209" s="26" t="s">
        <v>290</v>
      </c>
      <c r="P209" s="31">
        <v>30</v>
      </c>
      <c r="Q209" s="31"/>
      <c r="R209" s="26" t="s">
        <v>547</v>
      </c>
      <c r="S209" s="26"/>
      <c r="T209" s="31"/>
      <c r="U209" s="26"/>
      <c r="V209" s="26">
        <f t="shared" si="18"/>
        <v>1</v>
      </c>
      <c r="W209" s="26">
        <f t="shared" si="22"/>
        <v>1</v>
      </c>
      <c r="X209" s="26">
        <f>Data_Base[[#This Row],[B.N Total]]-Data_Base[[#This Row],[Nbre Brachements exécuté]]</f>
        <v>0</v>
      </c>
      <c r="Y209" s="26" t="str">
        <f t="shared" si="19"/>
        <v>lundi</v>
      </c>
      <c r="Z209" s="26" t="str">
        <f t="shared" si="20"/>
        <v>06</v>
      </c>
      <c r="AA209" s="26" t="str">
        <f t="shared" si="23"/>
        <v>05</v>
      </c>
      <c r="AB209" s="26" t="str">
        <f t="shared" si="21"/>
        <v>2024</v>
      </c>
    </row>
    <row r="210" spans="1:28" x14ac:dyDescent="0.25">
      <c r="A210" s="30">
        <v>45405</v>
      </c>
      <c r="B210" s="26" t="s">
        <v>619</v>
      </c>
      <c r="C210" s="26" t="s">
        <v>2</v>
      </c>
      <c r="D210" s="26" t="s">
        <v>620</v>
      </c>
      <c r="E210" s="26"/>
      <c r="G210" s="26"/>
      <c r="H210" s="26"/>
      <c r="I210" s="26"/>
      <c r="J210" s="30"/>
      <c r="K210" s="26"/>
      <c r="M210" s="30"/>
      <c r="O210" s="26"/>
      <c r="P210" s="31"/>
      <c r="Q210" s="31"/>
      <c r="R210" s="26"/>
      <c r="S210" s="26"/>
      <c r="T210" s="31"/>
      <c r="U210" s="26"/>
      <c r="V210" s="26">
        <f t="shared" si="18"/>
        <v>1</v>
      </c>
      <c r="W210" s="26">
        <f t="shared" si="22"/>
        <v>0</v>
      </c>
      <c r="X210" s="26">
        <f>Data_Base[[#This Row],[B.N Total]]-Data_Base[[#This Row],[Nbre Brachements exécuté]]</f>
        <v>1</v>
      </c>
      <c r="Y210" s="26" t="str">
        <f t="shared" si="19"/>
        <v>mardi</v>
      </c>
      <c r="Z210" s="26" t="str">
        <f t="shared" si="20"/>
        <v>23</v>
      </c>
      <c r="AA210" s="26" t="str">
        <f t="shared" si="23"/>
        <v>04</v>
      </c>
      <c r="AB210" s="26" t="str">
        <f t="shared" si="21"/>
        <v>2024</v>
      </c>
    </row>
    <row r="211" spans="1:28" x14ac:dyDescent="0.25">
      <c r="A211" s="30">
        <v>45406</v>
      </c>
      <c r="B211" s="26" t="s">
        <v>621</v>
      </c>
      <c r="C211" s="26" t="s">
        <v>2</v>
      </c>
      <c r="D211" s="26" t="s">
        <v>622</v>
      </c>
      <c r="E211" s="26"/>
      <c r="G211" s="26"/>
      <c r="H211" s="26"/>
      <c r="I211" s="26"/>
      <c r="J211" s="30"/>
      <c r="K211" s="26"/>
      <c r="M211" s="30"/>
      <c r="O211" s="26"/>
      <c r="P211" s="31"/>
      <c r="Q211" s="31"/>
      <c r="R211" s="26"/>
      <c r="S211" s="26"/>
      <c r="T211" s="31"/>
      <c r="U211" s="26"/>
      <c r="V211" s="26">
        <f t="shared" si="18"/>
        <v>1</v>
      </c>
      <c r="W211" s="26">
        <f t="shared" si="22"/>
        <v>0</v>
      </c>
      <c r="X211" s="26">
        <f>Data_Base[[#This Row],[B.N Total]]-Data_Base[[#This Row],[Nbre Brachements exécuté]]</f>
        <v>1</v>
      </c>
      <c r="Y211" s="26" t="str">
        <f t="shared" si="19"/>
        <v>mercredi</v>
      </c>
      <c r="Z211" s="26" t="str">
        <f t="shared" si="20"/>
        <v>24</v>
      </c>
      <c r="AA211" s="26" t="str">
        <f t="shared" si="23"/>
        <v>04</v>
      </c>
      <c r="AB211" s="26" t="str">
        <f t="shared" si="21"/>
        <v>2024</v>
      </c>
    </row>
    <row r="212" spans="1:28" x14ac:dyDescent="0.25">
      <c r="A212" s="30">
        <v>45406</v>
      </c>
      <c r="B212" s="26" t="s">
        <v>623</v>
      </c>
      <c r="C212" s="26" t="s">
        <v>2</v>
      </c>
      <c r="D212" s="26" t="s">
        <v>624</v>
      </c>
      <c r="E212" s="26"/>
      <c r="G212" s="26"/>
      <c r="H212" s="26"/>
      <c r="I212" s="26"/>
      <c r="J212" s="30"/>
      <c r="K212" s="26"/>
      <c r="M212" s="30"/>
      <c r="O212" s="26"/>
      <c r="P212" s="31"/>
      <c r="Q212" s="31"/>
      <c r="R212" s="26"/>
      <c r="S212" s="26"/>
      <c r="T212" s="31"/>
      <c r="U212" s="26"/>
      <c r="V212" s="26">
        <f t="shared" si="18"/>
        <v>1</v>
      </c>
      <c r="W212" s="26">
        <f t="shared" si="22"/>
        <v>0</v>
      </c>
      <c r="X212" s="26">
        <f>Data_Base[[#This Row],[B.N Total]]-Data_Base[[#This Row],[Nbre Brachements exécuté]]</f>
        <v>1</v>
      </c>
      <c r="Y212" s="26" t="str">
        <f t="shared" si="19"/>
        <v>mercredi</v>
      </c>
      <c r="Z212" s="26" t="str">
        <f t="shared" si="20"/>
        <v>24</v>
      </c>
      <c r="AA212" s="26" t="str">
        <f t="shared" si="23"/>
        <v>04</v>
      </c>
      <c r="AB212" s="26" t="str">
        <f t="shared" si="21"/>
        <v>2024</v>
      </c>
    </row>
    <row r="213" spans="1:28" x14ac:dyDescent="0.25">
      <c r="A213" s="30">
        <v>45406</v>
      </c>
      <c r="B213" s="26" t="s">
        <v>625</v>
      </c>
      <c r="C213" s="26" t="s">
        <v>3</v>
      </c>
      <c r="D213" s="26" t="s">
        <v>626</v>
      </c>
      <c r="E213" s="26"/>
      <c r="G213" s="26"/>
      <c r="H213" s="26"/>
      <c r="I213" s="26"/>
      <c r="J213" s="30"/>
      <c r="K213" s="26"/>
      <c r="M213" s="30"/>
      <c r="O213" s="26"/>
      <c r="P213" s="31"/>
      <c r="Q213" s="31"/>
      <c r="R213" s="26"/>
      <c r="S213" s="26"/>
      <c r="T213" s="31"/>
      <c r="U213" s="26"/>
      <c r="V213" s="26">
        <f t="shared" si="18"/>
        <v>1</v>
      </c>
      <c r="W213" s="26">
        <f t="shared" si="22"/>
        <v>0</v>
      </c>
      <c r="X213" s="26">
        <f>Data_Base[[#This Row],[B.N Total]]-Data_Base[[#This Row],[Nbre Brachements exécuté]]</f>
        <v>1</v>
      </c>
      <c r="Y213" s="26" t="str">
        <f t="shared" si="19"/>
        <v>mercredi</v>
      </c>
      <c r="Z213" s="26" t="str">
        <f t="shared" si="20"/>
        <v>24</v>
      </c>
      <c r="AA213" s="26" t="str">
        <f t="shared" si="23"/>
        <v>04</v>
      </c>
      <c r="AB213" s="26" t="str">
        <f t="shared" si="21"/>
        <v>2024</v>
      </c>
    </row>
    <row r="214" spans="1:28" x14ac:dyDescent="0.25">
      <c r="A214" s="30">
        <v>45406</v>
      </c>
      <c r="B214" s="26" t="s">
        <v>627</v>
      </c>
      <c r="C214" s="26" t="s">
        <v>3</v>
      </c>
      <c r="D214" s="26" t="s">
        <v>628</v>
      </c>
      <c r="E214" s="26"/>
      <c r="G214" s="26"/>
      <c r="H214" s="26"/>
      <c r="I214" s="26"/>
      <c r="J214" s="30"/>
      <c r="K214" s="26"/>
      <c r="M214" s="30"/>
      <c r="O214" s="26"/>
      <c r="P214" s="31"/>
      <c r="Q214" s="31"/>
      <c r="R214" s="26"/>
      <c r="S214" s="26"/>
      <c r="T214" s="31"/>
      <c r="U214" s="26"/>
      <c r="V214" s="26">
        <f t="shared" si="18"/>
        <v>1</v>
      </c>
      <c r="W214" s="26">
        <f t="shared" si="22"/>
        <v>0</v>
      </c>
      <c r="X214" s="26">
        <f>Data_Base[[#This Row],[B.N Total]]-Data_Base[[#This Row],[Nbre Brachements exécuté]]</f>
        <v>1</v>
      </c>
      <c r="Y214" s="26" t="str">
        <f t="shared" si="19"/>
        <v>mercredi</v>
      </c>
      <c r="Z214" s="26" t="str">
        <f t="shared" si="20"/>
        <v>24</v>
      </c>
      <c r="AA214" s="26" t="str">
        <f t="shared" si="23"/>
        <v>04</v>
      </c>
      <c r="AB214" s="26" t="str">
        <f t="shared" si="21"/>
        <v>2024</v>
      </c>
    </row>
    <row r="215" spans="1:28" x14ac:dyDescent="0.25">
      <c r="A215" s="30">
        <v>45406</v>
      </c>
      <c r="B215" s="26" t="s">
        <v>629</v>
      </c>
      <c r="C215" s="26" t="s">
        <v>2</v>
      </c>
      <c r="D215" s="26" t="s">
        <v>630</v>
      </c>
      <c r="E215" s="26"/>
      <c r="F215" s="28" t="s">
        <v>631</v>
      </c>
      <c r="G215" s="26" t="s">
        <v>160</v>
      </c>
      <c r="H215" s="26" t="s">
        <v>161</v>
      </c>
      <c r="I215" s="26" t="s">
        <v>586</v>
      </c>
      <c r="J215" s="30">
        <v>45420</v>
      </c>
      <c r="K215" s="26"/>
      <c r="M215" s="30"/>
      <c r="O215" s="26"/>
      <c r="P215" s="31"/>
      <c r="Q215" s="31"/>
      <c r="R215" s="26"/>
      <c r="S215" s="26"/>
      <c r="T215" s="31"/>
      <c r="U215" s="26"/>
      <c r="V215" s="26">
        <f t="shared" si="18"/>
        <v>1</v>
      </c>
      <c r="W215" s="26">
        <f t="shared" si="22"/>
        <v>0</v>
      </c>
      <c r="X215" s="26">
        <f>Data_Base[[#This Row],[B.N Total]]-Data_Base[[#This Row],[Nbre Brachements exécuté]]</f>
        <v>1</v>
      </c>
      <c r="Y215" s="26" t="str">
        <f t="shared" si="19"/>
        <v>mercredi</v>
      </c>
      <c r="Z215" s="26" t="str">
        <f t="shared" si="20"/>
        <v>24</v>
      </c>
      <c r="AA215" s="26" t="str">
        <f t="shared" si="23"/>
        <v>04</v>
      </c>
      <c r="AB215" s="26" t="str">
        <f t="shared" si="21"/>
        <v>2024</v>
      </c>
    </row>
    <row r="216" spans="1:28" x14ac:dyDescent="0.25">
      <c r="A216" s="30">
        <v>45406</v>
      </c>
      <c r="B216" s="26" t="s">
        <v>632</v>
      </c>
      <c r="C216" s="26" t="s">
        <v>2</v>
      </c>
      <c r="D216" s="26" t="s">
        <v>633</v>
      </c>
      <c r="E216" s="26"/>
      <c r="G216" s="26"/>
      <c r="H216" s="26"/>
      <c r="I216" s="26"/>
      <c r="J216" s="30"/>
      <c r="K216" s="26"/>
      <c r="M216" s="30"/>
      <c r="O216" s="26"/>
      <c r="P216" s="31"/>
      <c r="Q216" s="31"/>
      <c r="R216" s="26"/>
      <c r="S216" s="26"/>
      <c r="T216" s="31"/>
      <c r="U216" s="26"/>
      <c r="V216" s="26">
        <f t="shared" si="18"/>
        <v>1</v>
      </c>
      <c r="W216" s="26">
        <f t="shared" si="22"/>
        <v>0</v>
      </c>
      <c r="X216" s="26">
        <f>Data_Base[[#This Row],[B.N Total]]-Data_Base[[#This Row],[Nbre Brachements exécuté]]</f>
        <v>1</v>
      </c>
      <c r="Y216" s="26" t="str">
        <f t="shared" si="19"/>
        <v>mercredi</v>
      </c>
      <c r="Z216" s="26" t="str">
        <f t="shared" si="20"/>
        <v>24</v>
      </c>
      <c r="AA216" s="26" t="str">
        <f t="shared" si="23"/>
        <v>04</v>
      </c>
      <c r="AB216" s="26" t="str">
        <f t="shared" si="21"/>
        <v>2024</v>
      </c>
    </row>
    <row r="217" spans="1:28" x14ac:dyDescent="0.25">
      <c r="A217" s="30">
        <v>45406</v>
      </c>
      <c r="B217" s="26" t="s">
        <v>634</v>
      </c>
      <c r="C217" s="26" t="s">
        <v>2</v>
      </c>
      <c r="D217" s="26" t="s">
        <v>635</v>
      </c>
      <c r="E217" s="26" t="s">
        <v>142</v>
      </c>
      <c r="F217" s="28" t="s">
        <v>608</v>
      </c>
      <c r="G217" s="26" t="s">
        <v>160</v>
      </c>
      <c r="H217" s="26" t="s">
        <v>325</v>
      </c>
      <c r="I217" s="26" t="s">
        <v>160</v>
      </c>
      <c r="J217" s="30">
        <v>45408</v>
      </c>
      <c r="K217" s="26" t="s">
        <v>546</v>
      </c>
      <c r="L217" s="26" t="s">
        <v>636</v>
      </c>
      <c r="M217" s="30">
        <v>45408</v>
      </c>
      <c r="N217" s="26" t="s">
        <v>636</v>
      </c>
      <c r="O217" s="26" t="s">
        <v>141</v>
      </c>
      <c r="P217" s="31">
        <v>10</v>
      </c>
      <c r="Q217" s="31"/>
      <c r="R217" s="26" t="s">
        <v>547</v>
      </c>
      <c r="S217" s="26"/>
      <c r="T217" s="31"/>
      <c r="U217" s="26"/>
      <c r="V217" s="26">
        <f t="shared" si="18"/>
        <v>1</v>
      </c>
      <c r="W217" s="26">
        <f t="shared" si="22"/>
        <v>1</v>
      </c>
      <c r="X217" s="26">
        <f>Data_Base[[#This Row],[B.N Total]]-Data_Base[[#This Row],[Nbre Brachements exécuté]]</f>
        <v>0</v>
      </c>
      <c r="Y217" s="26" t="str">
        <f t="shared" si="19"/>
        <v>mercredi</v>
      </c>
      <c r="Z217" s="26" t="str">
        <f t="shared" si="20"/>
        <v>24</v>
      </c>
      <c r="AA217" s="26" t="str">
        <f t="shared" si="23"/>
        <v>04</v>
      </c>
      <c r="AB217" s="26" t="str">
        <f t="shared" si="21"/>
        <v>2024</v>
      </c>
    </row>
    <row r="218" spans="1:28" x14ac:dyDescent="0.25">
      <c r="A218" s="30">
        <v>45406</v>
      </c>
      <c r="B218" s="26" t="s">
        <v>637</v>
      </c>
      <c r="C218" s="26" t="s">
        <v>2</v>
      </c>
      <c r="D218" s="26" t="s">
        <v>638</v>
      </c>
      <c r="E218" s="26"/>
      <c r="G218" s="26"/>
      <c r="H218" s="26"/>
      <c r="I218" s="26"/>
      <c r="J218" s="30"/>
      <c r="K218" s="26"/>
      <c r="M218" s="30"/>
      <c r="O218" s="26"/>
      <c r="P218" s="31"/>
      <c r="Q218" s="31"/>
      <c r="R218" s="26"/>
      <c r="S218" s="26"/>
      <c r="T218" s="31"/>
      <c r="U218" s="26"/>
      <c r="V218" s="26">
        <f t="shared" si="18"/>
        <v>1</v>
      </c>
      <c r="W218" s="26">
        <f t="shared" si="22"/>
        <v>0</v>
      </c>
      <c r="X218" s="26">
        <f>Data_Base[[#This Row],[B.N Total]]-Data_Base[[#This Row],[Nbre Brachements exécuté]]</f>
        <v>1</v>
      </c>
      <c r="Y218" s="26" t="str">
        <f t="shared" si="19"/>
        <v>mercredi</v>
      </c>
      <c r="Z218" s="26" t="str">
        <f t="shared" si="20"/>
        <v>24</v>
      </c>
      <c r="AA218" s="26" t="str">
        <f t="shared" si="23"/>
        <v>04</v>
      </c>
      <c r="AB218" s="26" t="str">
        <f t="shared" si="21"/>
        <v>2024</v>
      </c>
    </row>
    <row r="219" spans="1:28" x14ac:dyDescent="0.25">
      <c r="A219" s="30">
        <v>45406</v>
      </c>
      <c r="B219" s="26" t="s">
        <v>639</v>
      </c>
      <c r="C219" s="26" t="s">
        <v>2</v>
      </c>
      <c r="D219" s="26" t="s">
        <v>640</v>
      </c>
      <c r="E219" s="26" t="s">
        <v>142</v>
      </c>
      <c r="F219" s="28" t="s">
        <v>641</v>
      </c>
      <c r="G219" s="26" t="s">
        <v>160</v>
      </c>
      <c r="H219" s="26" t="s">
        <v>325</v>
      </c>
      <c r="I219" s="26" t="s">
        <v>579</v>
      </c>
      <c r="J219" s="30">
        <v>45418</v>
      </c>
      <c r="K219" s="26" t="s">
        <v>546</v>
      </c>
      <c r="L219" s="26" t="s">
        <v>642</v>
      </c>
      <c r="M219" s="30">
        <v>45418</v>
      </c>
      <c r="N219" s="26" t="s">
        <v>642</v>
      </c>
      <c r="O219" s="26"/>
      <c r="P219" s="31">
        <v>30</v>
      </c>
      <c r="Q219" s="31">
        <v>10</v>
      </c>
      <c r="R219" s="26" t="s">
        <v>547</v>
      </c>
      <c r="S219" s="26"/>
      <c r="T219" s="31" t="s">
        <v>549</v>
      </c>
      <c r="U219" s="26" t="s">
        <v>549</v>
      </c>
      <c r="V219" s="26">
        <f t="shared" si="18"/>
        <v>1</v>
      </c>
      <c r="W219" s="26">
        <f t="shared" si="22"/>
        <v>1</v>
      </c>
      <c r="X219" s="26">
        <f>Data_Base[[#This Row],[B.N Total]]-Data_Base[[#This Row],[Nbre Brachements exécuté]]</f>
        <v>0</v>
      </c>
      <c r="Y219" s="26" t="str">
        <f t="shared" si="19"/>
        <v>mercredi</v>
      </c>
      <c r="Z219" s="26" t="str">
        <f t="shared" si="20"/>
        <v>24</v>
      </c>
      <c r="AA219" s="26" t="str">
        <f t="shared" si="23"/>
        <v>04</v>
      </c>
      <c r="AB219" s="26" t="str">
        <f t="shared" si="21"/>
        <v>2024</v>
      </c>
    </row>
    <row r="220" spans="1:28" x14ac:dyDescent="0.25">
      <c r="A220" s="30">
        <v>45406</v>
      </c>
      <c r="B220" s="26" t="s">
        <v>639</v>
      </c>
      <c r="C220" s="26" t="s">
        <v>2</v>
      </c>
      <c r="D220" s="26" t="s">
        <v>643</v>
      </c>
      <c r="E220" s="26" t="s">
        <v>142</v>
      </c>
      <c r="F220" s="28" t="s">
        <v>641</v>
      </c>
      <c r="G220" s="26" t="s">
        <v>160</v>
      </c>
      <c r="H220" s="26" t="s">
        <v>325</v>
      </c>
      <c r="I220" s="26" t="s">
        <v>579</v>
      </c>
      <c r="J220" s="30">
        <v>45418</v>
      </c>
      <c r="K220" s="26" t="s">
        <v>546</v>
      </c>
      <c r="L220" s="26" t="s">
        <v>644</v>
      </c>
      <c r="M220" s="30">
        <v>45418</v>
      </c>
      <c r="N220" s="26" t="s">
        <v>644</v>
      </c>
      <c r="O220" s="26"/>
      <c r="P220" s="31">
        <v>30</v>
      </c>
      <c r="Q220" s="31">
        <v>10</v>
      </c>
      <c r="R220" s="26" t="s">
        <v>547</v>
      </c>
      <c r="S220" s="26"/>
      <c r="T220" s="31" t="s">
        <v>549</v>
      </c>
      <c r="U220" s="26" t="s">
        <v>549</v>
      </c>
      <c r="V220" s="26">
        <f t="shared" si="18"/>
        <v>1</v>
      </c>
      <c r="W220" s="26">
        <f t="shared" si="22"/>
        <v>1</v>
      </c>
      <c r="X220" s="26">
        <f>Data_Base[[#This Row],[B.N Total]]-Data_Base[[#This Row],[Nbre Brachements exécuté]]</f>
        <v>0</v>
      </c>
      <c r="Y220" s="26" t="str">
        <f t="shared" si="19"/>
        <v>mercredi</v>
      </c>
      <c r="Z220" s="26" t="str">
        <f t="shared" si="20"/>
        <v>24</v>
      </c>
      <c r="AA220" s="26" t="str">
        <f t="shared" si="23"/>
        <v>04</v>
      </c>
      <c r="AB220" s="26" t="str">
        <f t="shared" si="21"/>
        <v>2024</v>
      </c>
    </row>
    <row r="221" spans="1:28" x14ac:dyDescent="0.25">
      <c r="A221" s="30">
        <v>45406</v>
      </c>
      <c r="B221" s="26" t="s">
        <v>639</v>
      </c>
      <c r="C221" s="26" t="s">
        <v>2</v>
      </c>
      <c r="D221" s="26" t="s">
        <v>645</v>
      </c>
      <c r="E221" s="26" t="s">
        <v>142</v>
      </c>
      <c r="F221" s="28" t="s">
        <v>641</v>
      </c>
      <c r="G221" s="26" t="s">
        <v>160</v>
      </c>
      <c r="H221" s="26" t="s">
        <v>325</v>
      </c>
      <c r="I221" s="26" t="s">
        <v>579</v>
      </c>
      <c r="J221" s="30">
        <v>45418</v>
      </c>
      <c r="K221" s="26" t="s">
        <v>546</v>
      </c>
      <c r="L221" s="26" t="s">
        <v>646</v>
      </c>
      <c r="M221" s="30">
        <v>45418</v>
      </c>
      <c r="N221" s="26" t="s">
        <v>646</v>
      </c>
      <c r="O221" s="26"/>
      <c r="P221" s="31">
        <v>30</v>
      </c>
      <c r="Q221" s="31">
        <v>10</v>
      </c>
      <c r="R221" s="26" t="s">
        <v>547</v>
      </c>
      <c r="S221" s="26"/>
      <c r="T221" s="31" t="s">
        <v>549</v>
      </c>
      <c r="U221" s="26" t="s">
        <v>549</v>
      </c>
      <c r="V221" s="26">
        <f t="shared" si="18"/>
        <v>1</v>
      </c>
      <c r="W221" s="26">
        <f t="shared" si="22"/>
        <v>1</v>
      </c>
      <c r="X221" s="26">
        <f>Data_Base[[#This Row],[B.N Total]]-Data_Base[[#This Row],[Nbre Brachements exécuté]]</f>
        <v>0</v>
      </c>
      <c r="Y221" s="26" t="str">
        <f t="shared" si="19"/>
        <v>mercredi</v>
      </c>
      <c r="Z221" s="26" t="str">
        <f t="shared" si="20"/>
        <v>24</v>
      </c>
      <c r="AA221" s="26" t="str">
        <f t="shared" si="23"/>
        <v>04</v>
      </c>
      <c r="AB221" s="26" t="str">
        <f t="shared" si="21"/>
        <v>2024</v>
      </c>
    </row>
    <row r="222" spans="1:28" x14ac:dyDescent="0.25">
      <c r="A222" s="30">
        <v>45406</v>
      </c>
      <c r="B222" s="26" t="s">
        <v>629</v>
      </c>
      <c r="C222" s="26" t="s">
        <v>2</v>
      </c>
      <c r="D222" s="26" t="s">
        <v>647</v>
      </c>
      <c r="E222" s="26"/>
      <c r="F222" s="28" t="s">
        <v>631</v>
      </c>
      <c r="G222" s="26" t="s">
        <v>160</v>
      </c>
      <c r="H222" s="26" t="s">
        <v>161</v>
      </c>
      <c r="I222" s="26" t="s">
        <v>586</v>
      </c>
      <c r="J222" s="30">
        <v>45420</v>
      </c>
      <c r="K222" s="26"/>
      <c r="M222" s="30"/>
      <c r="O222" s="26"/>
      <c r="P222" s="31"/>
      <c r="Q222" s="31"/>
      <c r="R222" s="26"/>
      <c r="S222" s="26"/>
      <c r="T222" s="31"/>
      <c r="U222" s="26"/>
      <c r="V222" s="26">
        <f t="shared" si="18"/>
        <v>1</v>
      </c>
      <c r="W222" s="26">
        <f t="shared" si="22"/>
        <v>0</v>
      </c>
      <c r="X222" s="26">
        <f>Data_Base[[#This Row],[B.N Total]]-Data_Base[[#This Row],[Nbre Brachements exécuté]]</f>
        <v>1</v>
      </c>
      <c r="Y222" s="26" t="str">
        <f t="shared" si="19"/>
        <v>mercredi</v>
      </c>
      <c r="Z222" s="26" t="str">
        <f t="shared" si="20"/>
        <v>24</v>
      </c>
      <c r="AA222" s="26" t="str">
        <f t="shared" si="23"/>
        <v>04</v>
      </c>
      <c r="AB222" s="26" t="str">
        <f t="shared" si="21"/>
        <v>2024</v>
      </c>
    </row>
    <row r="223" spans="1:28" x14ac:dyDescent="0.25">
      <c r="A223" s="30">
        <v>45406</v>
      </c>
      <c r="B223" s="26" t="s">
        <v>648</v>
      </c>
      <c r="C223" s="26" t="s">
        <v>2</v>
      </c>
      <c r="D223" s="26" t="s">
        <v>649</v>
      </c>
      <c r="E223" s="26"/>
      <c r="G223" s="26"/>
      <c r="H223" s="26"/>
      <c r="I223" s="26"/>
      <c r="J223" s="30"/>
      <c r="K223" s="26"/>
      <c r="M223" s="30"/>
      <c r="O223" s="26"/>
      <c r="P223" s="31"/>
      <c r="Q223" s="31"/>
      <c r="R223" s="26"/>
      <c r="S223" s="26"/>
      <c r="T223" s="31"/>
      <c r="U223" s="26"/>
      <c r="V223" s="26">
        <f t="shared" si="18"/>
        <v>1</v>
      </c>
      <c r="W223" s="26">
        <f t="shared" si="22"/>
        <v>0</v>
      </c>
      <c r="X223" s="26">
        <f>Data_Base[[#This Row],[B.N Total]]-Data_Base[[#This Row],[Nbre Brachements exécuté]]</f>
        <v>1</v>
      </c>
      <c r="Y223" s="26" t="str">
        <f t="shared" si="19"/>
        <v>mercredi</v>
      </c>
      <c r="Z223" s="26" t="str">
        <f t="shared" si="20"/>
        <v>24</v>
      </c>
      <c r="AA223" s="26" t="str">
        <f t="shared" si="23"/>
        <v>04</v>
      </c>
      <c r="AB223" s="26" t="str">
        <f t="shared" si="21"/>
        <v>2024</v>
      </c>
    </row>
    <row r="224" spans="1:28" x14ac:dyDescent="0.25">
      <c r="A224" s="30">
        <v>45406</v>
      </c>
      <c r="B224" s="26" t="s">
        <v>650</v>
      </c>
      <c r="C224" s="26" t="s">
        <v>2</v>
      </c>
      <c r="D224" s="26" t="s">
        <v>651</v>
      </c>
      <c r="E224" s="26" t="s">
        <v>142</v>
      </c>
      <c r="F224" s="28" t="s">
        <v>652</v>
      </c>
      <c r="G224" s="26" t="s">
        <v>160</v>
      </c>
      <c r="H224" s="26" t="s">
        <v>325</v>
      </c>
      <c r="I224" s="26" t="s">
        <v>579</v>
      </c>
      <c r="J224" s="30">
        <v>45418</v>
      </c>
      <c r="K224" s="26" t="s">
        <v>546</v>
      </c>
      <c r="L224" s="26" t="s">
        <v>653</v>
      </c>
      <c r="M224" s="30">
        <v>45418</v>
      </c>
      <c r="N224" s="26" t="s">
        <v>653</v>
      </c>
      <c r="O224" s="26"/>
      <c r="P224" s="31">
        <v>30</v>
      </c>
      <c r="Q224" s="31">
        <v>10</v>
      </c>
      <c r="R224" s="26" t="s">
        <v>547</v>
      </c>
      <c r="S224" s="26"/>
      <c r="T224" s="31" t="s">
        <v>549</v>
      </c>
      <c r="U224" s="26"/>
      <c r="V224" s="26">
        <f t="shared" si="18"/>
        <v>1</v>
      </c>
      <c r="W224" s="26">
        <f t="shared" si="22"/>
        <v>1</v>
      </c>
      <c r="X224" s="26">
        <f>Data_Base[[#This Row],[B.N Total]]-Data_Base[[#This Row],[Nbre Brachements exécuté]]</f>
        <v>0</v>
      </c>
      <c r="Y224" s="26" t="str">
        <f t="shared" si="19"/>
        <v>mercredi</v>
      </c>
      <c r="Z224" s="26" t="str">
        <f t="shared" si="20"/>
        <v>24</v>
      </c>
      <c r="AA224" s="26" t="str">
        <f t="shared" si="23"/>
        <v>04</v>
      </c>
      <c r="AB224" s="26" t="str">
        <f t="shared" si="21"/>
        <v>2024</v>
      </c>
    </row>
    <row r="225" spans="1:28" x14ac:dyDescent="0.25">
      <c r="A225" s="30">
        <v>45406</v>
      </c>
      <c r="B225" s="26" t="s">
        <v>650</v>
      </c>
      <c r="C225" s="26" t="s">
        <v>2</v>
      </c>
      <c r="D225" s="26" t="s">
        <v>654</v>
      </c>
      <c r="E225" s="26" t="s">
        <v>142</v>
      </c>
      <c r="F225" s="28" t="s">
        <v>652</v>
      </c>
      <c r="G225" s="26" t="s">
        <v>160</v>
      </c>
      <c r="H225" s="26" t="s">
        <v>325</v>
      </c>
      <c r="I225" s="26" t="s">
        <v>579</v>
      </c>
      <c r="J225" s="30">
        <v>45418</v>
      </c>
      <c r="K225" s="26" t="s">
        <v>546</v>
      </c>
      <c r="L225" s="26" t="s">
        <v>655</v>
      </c>
      <c r="M225" s="30">
        <v>45418</v>
      </c>
      <c r="N225" s="26" t="s">
        <v>655</v>
      </c>
      <c r="O225" s="26"/>
      <c r="P225" s="31">
        <v>30</v>
      </c>
      <c r="Q225" s="31">
        <v>10</v>
      </c>
      <c r="R225" s="26" t="s">
        <v>547</v>
      </c>
      <c r="S225" s="26"/>
      <c r="T225" s="31" t="s">
        <v>549</v>
      </c>
      <c r="U225" s="26"/>
      <c r="V225" s="26">
        <f t="shared" si="18"/>
        <v>1</v>
      </c>
      <c r="W225" s="26">
        <f t="shared" si="22"/>
        <v>1</v>
      </c>
      <c r="X225" s="26">
        <f>Data_Base[[#This Row],[B.N Total]]-Data_Base[[#This Row],[Nbre Brachements exécuté]]</f>
        <v>0</v>
      </c>
      <c r="Y225" s="26" t="str">
        <f t="shared" si="19"/>
        <v>mercredi</v>
      </c>
      <c r="Z225" s="26" t="str">
        <f t="shared" si="20"/>
        <v>24</v>
      </c>
      <c r="AA225" s="26" t="str">
        <f t="shared" si="23"/>
        <v>04</v>
      </c>
      <c r="AB225" s="26" t="str">
        <f t="shared" si="21"/>
        <v>2024</v>
      </c>
    </row>
    <row r="226" spans="1:28" x14ac:dyDescent="0.25">
      <c r="A226" s="30">
        <v>45406</v>
      </c>
      <c r="B226" s="26" t="s">
        <v>650</v>
      </c>
      <c r="C226" s="26" t="s">
        <v>2</v>
      </c>
      <c r="D226" s="26" t="s">
        <v>656</v>
      </c>
      <c r="E226" s="26" t="s">
        <v>142</v>
      </c>
      <c r="F226" s="28" t="s">
        <v>652</v>
      </c>
      <c r="G226" s="26" t="s">
        <v>160</v>
      </c>
      <c r="H226" s="26" t="s">
        <v>325</v>
      </c>
      <c r="I226" s="26" t="s">
        <v>579</v>
      </c>
      <c r="J226" s="30">
        <v>45418</v>
      </c>
      <c r="K226" s="26" t="s">
        <v>546</v>
      </c>
      <c r="L226" s="26" t="s">
        <v>657</v>
      </c>
      <c r="M226" s="30">
        <v>45418</v>
      </c>
      <c r="N226" s="26" t="s">
        <v>657</v>
      </c>
      <c r="O226" s="26"/>
      <c r="P226" s="31">
        <v>30</v>
      </c>
      <c r="Q226" s="31">
        <v>10</v>
      </c>
      <c r="R226" s="26" t="s">
        <v>547</v>
      </c>
      <c r="S226" s="26"/>
      <c r="T226" s="31" t="s">
        <v>549</v>
      </c>
      <c r="U226" s="26"/>
      <c r="V226" s="26">
        <f t="shared" si="18"/>
        <v>1</v>
      </c>
      <c r="W226" s="26">
        <f t="shared" si="22"/>
        <v>1</v>
      </c>
      <c r="X226" s="26">
        <f>Data_Base[[#This Row],[B.N Total]]-Data_Base[[#This Row],[Nbre Brachements exécuté]]</f>
        <v>0</v>
      </c>
      <c r="Y226" s="26" t="str">
        <f t="shared" si="19"/>
        <v>mercredi</v>
      </c>
      <c r="Z226" s="26" t="str">
        <f t="shared" si="20"/>
        <v>24</v>
      </c>
      <c r="AA226" s="26" t="str">
        <f t="shared" si="23"/>
        <v>04</v>
      </c>
      <c r="AB226" s="26" t="str">
        <f t="shared" si="21"/>
        <v>2024</v>
      </c>
    </row>
    <row r="227" spans="1:28" x14ac:dyDescent="0.25">
      <c r="A227" s="30">
        <v>45406</v>
      </c>
      <c r="B227" s="26" t="s">
        <v>658</v>
      </c>
      <c r="C227" s="26" t="s">
        <v>2</v>
      </c>
      <c r="D227" s="26" t="s">
        <v>659</v>
      </c>
      <c r="E227" s="26"/>
      <c r="G227" s="26"/>
      <c r="H227" s="26"/>
      <c r="I227" s="26"/>
      <c r="J227" s="30"/>
      <c r="K227" s="26"/>
      <c r="M227" s="30"/>
      <c r="O227" s="26"/>
      <c r="P227" s="31"/>
      <c r="Q227" s="31"/>
      <c r="R227" s="26"/>
      <c r="S227" s="26"/>
      <c r="T227" s="31"/>
      <c r="U227" s="26"/>
      <c r="V227" s="26">
        <f t="shared" si="18"/>
        <v>1</v>
      </c>
      <c r="W227" s="26">
        <f t="shared" si="22"/>
        <v>0</v>
      </c>
      <c r="X227" s="26">
        <f>Data_Base[[#This Row],[B.N Total]]-Data_Base[[#This Row],[Nbre Brachements exécuté]]</f>
        <v>1</v>
      </c>
      <c r="Y227" s="26" t="str">
        <f t="shared" si="19"/>
        <v>mercredi</v>
      </c>
      <c r="Z227" s="26" t="str">
        <f t="shared" si="20"/>
        <v>24</v>
      </c>
      <c r="AA227" s="26" t="str">
        <f t="shared" si="23"/>
        <v>04</v>
      </c>
      <c r="AB227" s="26" t="str">
        <f t="shared" si="21"/>
        <v>2024</v>
      </c>
    </row>
    <row r="228" spans="1:28" x14ac:dyDescent="0.25">
      <c r="A228" s="30">
        <v>45406</v>
      </c>
      <c r="B228" s="26" t="s">
        <v>660</v>
      </c>
      <c r="C228" s="26" t="s">
        <v>2</v>
      </c>
      <c r="D228" s="26" t="s">
        <v>661</v>
      </c>
      <c r="E228" s="26"/>
      <c r="G228" s="26"/>
      <c r="H228" s="26"/>
      <c r="I228" s="26"/>
      <c r="J228" s="30"/>
      <c r="K228" s="26"/>
      <c r="M228" s="30"/>
      <c r="O228" s="26"/>
      <c r="P228" s="31"/>
      <c r="Q228" s="31"/>
      <c r="R228" s="26"/>
      <c r="S228" s="26"/>
      <c r="T228" s="31"/>
      <c r="U228" s="26"/>
      <c r="V228" s="26">
        <f t="shared" si="18"/>
        <v>1</v>
      </c>
      <c r="W228" s="26">
        <f t="shared" si="22"/>
        <v>0</v>
      </c>
      <c r="X228" s="26">
        <f>Data_Base[[#This Row],[B.N Total]]-Data_Base[[#This Row],[Nbre Brachements exécuté]]</f>
        <v>1</v>
      </c>
      <c r="Y228" s="26" t="str">
        <f t="shared" si="19"/>
        <v>mercredi</v>
      </c>
      <c r="Z228" s="26" t="str">
        <f t="shared" si="20"/>
        <v>24</v>
      </c>
      <c r="AA228" s="26" t="str">
        <f t="shared" si="23"/>
        <v>04</v>
      </c>
      <c r="AB228" s="26" t="str">
        <f t="shared" si="21"/>
        <v>2024</v>
      </c>
    </row>
    <row r="229" spans="1:28" x14ac:dyDescent="0.25">
      <c r="A229" s="30">
        <v>45406</v>
      </c>
      <c r="B229" s="26" t="s">
        <v>662</v>
      </c>
      <c r="C229" s="26" t="s">
        <v>2</v>
      </c>
      <c r="D229" s="26" t="s">
        <v>663</v>
      </c>
      <c r="E229" s="26"/>
      <c r="G229" s="26"/>
      <c r="H229" s="26"/>
      <c r="I229" s="26"/>
      <c r="J229" s="30"/>
      <c r="K229" s="26"/>
      <c r="M229" s="30"/>
      <c r="O229" s="26"/>
      <c r="P229" s="31"/>
      <c r="Q229" s="31"/>
      <c r="R229" s="26"/>
      <c r="S229" s="26"/>
      <c r="T229" s="31"/>
      <c r="U229" s="26"/>
      <c r="V229" s="26">
        <f t="shared" si="18"/>
        <v>1</v>
      </c>
      <c r="W229" s="26">
        <f t="shared" si="22"/>
        <v>0</v>
      </c>
      <c r="X229" s="26">
        <f>Data_Base[[#This Row],[B.N Total]]-Data_Base[[#This Row],[Nbre Brachements exécuté]]</f>
        <v>1</v>
      </c>
      <c r="Y229" s="26" t="str">
        <f t="shared" si="19"/>
        <v>mercredi</v>
      </c>
      <c r="Z229" s="26" t="str">
        <f t="shared" si="20"/>
        <v>24</v>
      </c>
      <c r="AA229" s="26" t="str">
        <f t="shared" si="23"/>
        <v>04</v>
      </c>
      <c r="AB229" s="26" t="str">
        <f t="shared" si="21"/>
        <v>2024</v>
      </c>
    </row>
    <row r="230" spans="1:28" x14ac:dyDescent="0.25">
      <c r="A230" s="30">
        <v>45406</v>
      </c>
      <c r="B230" s="26" t="s">
        <v>664</v>
      </c>
      <c r="C230" s="26" t="s">
        <v>2</v>
      </c>
      <c r="D230" s="26" t="s">
        <v>665</v>
      </c>
      <c r="E230" s="26"/>
      <c r="G230" s="26"/>
      <c r="H230" s="26"/>
      <c r="I230" s="26"/>
      <c r="J230" s="30"/>
      <c r="K230" s="26"/>
      <c r="M230" s="30"/>
      <c r="O230" s="26"/>
      <c r="P230" s="31"/>
      <c r="Q230" s="31"/>
      <c r="R230" s="26"/>
      <c r="S230" s="26"/>
      <c r="T230" s="31"/>
      <c r="U230" s="26"/>
      <c r="V230" s="26">
        <f t="shared" si="18"/>
        <v>1</v>
      </c>
      <c r="W230" s="26">
        <f t="shared" si="22"/>
        <v>0</v>
      </c>
      <c r="X230" s="26">
        <f>Data_Base[[#This Row],[B.N Total]]-Data_Base[[#This Row],[Nbre Brachements exécuté]]</f>
        <v>1</v>
      </c>
      <c r="Y230" s="26" t="str">
        <f t="shared" si="19"/>
        <v>mercredi</v>
      </c>
      <c r="Z230" s="26" t="str">
        <f t="shared" si="20"/>
        <v>24</v>
      </c>
      <c r="AA230" s="26" t="str">
        <f t="shared" si="23"/>
        <v>04</v>
      </c>
      <c r="AB230" s="26" t="str">
        <f t="shared" si="21"/>
        <v>2024</v>
      </c>
    </row>
    <row r="231" spans="1:28" x14ac:dyDescent="0.25">
      <c r="A231" s="30">
        <v>45406</v>
      </c>
      <c r="B231" s="26" t="s">
        <v>666</v>
      </c>
      <c r="C231" s="26" t="s">
        <v>2</v>
      </c>
      <c r="D231" s="26" t="s">
        <v>667</v>
      </c>
      <c r="E231" s="26" t="s">
        <v>142</v>
      </c>
      <c r="F231" s="28" t="s">
        <v>668</v>
      </c>
      <c r="G231" s="26" t="s">
        <v>160</v>
      </c>
      <c r="H231" s="26" t="s">
        <v>325</v>
      </c>
      <c r="I231" s="26" t="s">
        <v>160</v>
      </c>
      <c r="J231" s="30">
        <v>45405</v>
      </c>
      <c r="K231" s="26" t="s">
        <v>546</v>
      </c>
      <c r="L231" s="26" t="s">
        <v>669</v>
      </c>
      <c r="M231" s="30">
        <v>45405</v>
      </c>
      <c r="N231" s="26" t="s">
        <v>669</v>
      </c>
      <c r="O231" s="26" t="s">
        <v>141</v>
      </c>
      <c r="P231" s="31">
        <v>10</v>
      </c>
      <c r="Q231" s="31"/>
      <c r="R231" s="26" t="s">
        <v>547</v>
      </c>
      <c r="S231" s="26" t="s">
        <v>548</v>
      </c>
      <c r="T231" s="31" t="s">
        <v>549</v>
      </c>
      <c r="U231" s="26"/>
      <c r="V231" s="26">
        <f t="shared" si="18"/>
        <v>1</v>
      </c>
      <c r="W231" s="26">
        <f t="shared" si="22"/>
        <v>1</v>
      </c>
      <c r="X231" s="26">
        <f>Data_Base[[#This Row],[B.N Total]]-Data_Base[[#This Row],[Nbre Brachements exécuté]]</f>
        <v>0</v>
      </c>
      <c r="Y231" s="26" t="str">
        <f t="shared" si="19"/>
        <v>mercredi</v>
      </c>
      <c r="Z231" s="26" t="str">
        <f t="shared" si="20"/>
        <v>24</v>
      </c>
      <c r="AA231" s="26" t="str">
        <f t="shared" si="23"/>
        <v>04</v>
      </c>
      <c r="AB231" s="26" t="str">
        <f t="shared" si="21"/>
        <v>2024</v>
      </c>
    </row>
    <row r="232" spans="1:28" x14ac:dyDescent="0.25">
      <c r="A232" s="30">
        <v>45406</v>
      </c>
      <c r="B232" s="26" t="s">
        <v>666</v>
      </c>
      <c r="C232" s="26" t="s">
        <v>2</v>
      </c>
      <c r="D232" s="26" t="s">
        <v>670</v>
      </c>
      <c r="E232" s="26" t="s">
        <v>142</v>
      </c>
      <c r="F232" s="28" t="s">
        <v>668</v>
      </c>
      <c r="G232" s="26" t="s">
        <v>160</v>
      </c>
      <c r="H232" s="26" t="s">
        <v>325</v>
      </c>
      <c r="I232" s="26" t="s">
        <v>160</v>
      </c>
      <c r="J232" s="30">
        <v>45405</v>
      </c>
      <c r="K232" s="26" t="s">
        <v>546</v>
      </c>
      <c r="L232" s="26" t="s">
        <v>671</v>
      </c>
      <c r="M232" s="30">
        <v>45405</v>
      </c>
      <c r="N232" s="26" t="s">
        <v>671</v>
      </c>
      <c r="O232" s="26" t="s">
        <v>141</v>
      </c>
      <c r="P232" s="31">
        <v>30</v>
      </c>
      <c r="Q232" s="31"/>
      <c r="R232" s="26" t="s">
        <v>547</v>
      </c>
      <c r="S232" s="26" t="s">
        <v>548</v>
      </c>
      <c r="T232" s="31" t="s">
        <v>549</v>
      </c>
      <c r="U232" s="26"/>
      <c r="V232" s="26">
        <f t="shared" si="18"/>
        <v>1</v>
      </c>
      <c r="W232" s="26">
        <f t="shared" si="22"/>
        <v>1</v>
      </c>
      <c r="X232" s="26">
        <f>Data_Base[[#This Row],[B.N Total]]-Data_Base[[#This Row],[Nbre Brachements exécuté]]</f>
        <v>0</v>
      </c>
      <c r="Y232" s="26" t="str">
        <f t="shared" si="19"/>
        <v>mercredi</v>
      </c>
      <c r="Z232" s="26" t="str">
        <f t="shared" si="20"/>
        <v>24</v>
      </c>
      <c r="AA232" s="26" t="str">
        <f t="shared" si="23"/>
        <v>04</v>
      </c>
      <c r="AB232" s="26" t="str">
        <f t="shared" si="21"/>
        <v>2024</v>
      </c>
    </row>
    <row r="233" spans="1:28" x14ac:dyDescent="0.25">
      <c r="A233" s="30">
        <v>45406</v>
      </c>
      <c r="B233" s="26" t="s">
        <v>672</v>
      </c>
      <c r="C233" s="26" t="s">
        <v>2</v>
      </c>
      <c r="D233" s="26" t="s">
        <v>673</v>
      </c>
      <c r="E233" s="26"/>
      <c r="G233" s="26"/>
      <c r="H233" s="26"/>
      <c r="I233" s="26"/>
      <c r="J233" s="30"/>
      <c r="K233" s="26"/>
      <c r="M233" s="30"/>
      <c r="O233" s="26"/>
      <c r="P233" s="31"/>
      <c r="Q233" s="31"/>
      <c r="R233" s="26"/>
      <c r="S233" s="26"/>
      <c r="T233" s="31"/>
      <c r="U233" s="26"/>
      <c r="V233" s="26">
        <f t="shared" si="18"/>
        <v>1</v>
      </c>
      <c r="W233" s="26">
        <f t="shared" si="22"/>
        <v>0</v>
      </c>
      <c r="X233" s="26">
        <f>Data_Base[[#This Row],[B.N Total]]-Data_Base[[#This Row],[Nbre Brachements exécuté]]</f>
        <v>1</v>
      </c>
      <c r="Y233" s="26" t="str">
        <f t="shared" si="19"/>
        <v>mercredi</v>
      </c>
      <c r="Z233" s="26" t="str">
        <f t="shared" si="20"/>
        <v>24</v>
      </c>
      <c r="AA233" s="26" t="str">
        <f t="shared" si="23"/>
        <v>04</v>
      </c>
      <c r="AB233" s="26" t="str">
        <f t="shared" si="21"/>
        <v>2024</v>
      </c>
    </row>
    <row r="234" spans="1:28" x14ac:dyDescent="0.25">
      <c r="A234" s="30">
        <v>45406</v>
      </c>
      <c r="B234" s="26" t="s">
        <v>674</v>
      </c>
      <c r="C234" s="26" t="s">
        <v>2</v>
      </c>
      <c r="D234" s="26" t="s">
        <v>675</v>
      </c>
      <c r="E234" s="26"/>
      <c r="G234" s="26"/>
      <c r="H234" s="26"/>
      <c r="I234" s="26"/>
      <c r="J234" s="30"/>
      <c r="K234" s="26"/>
      <c r="M234" s="30"/>
      <c r="O234" s="26"/>
      <c r="P234" s="31"/>
      <c r="Q234" s="31"/>
      <c r="R234" s="26"/>
      <c r="S234" s="26"/>
      <c r="T234" s="31"/>
      <c r="U234" s="26"/>
      <c r="V234" s="26">
        <f t="shared" si="18"/>
        <v>1</v>
      </c>
      <c r="W234" s="26">
        <f t="shared" si="22"/>
        <v>0</v>
      </c>
      <c r="X234" s="26">
        <f>Data_Base[[#This Row],[B.N Total]]-Data_Base[[#This Row],[Nbre Brachements exécuté]]</f>
        <v>1</v>
      </c>
      <c r="Y234" s="26" t="str">
        <f t="shared" si="19"/>
        <v>mercredi</v>
      </c>
      <c r="Z234" s="26" t="str">
        <f t="shared" si="20"/>
        <v>24</v>
      </c>
      <c r="AA234" s="26" t="str">
        <f t="shared" si="23"/>
        <v>04</v>
      </c>
      <c r="AB234" s="26" t="str">
        <f t="shared" si="21"/>
        <v>2024</v>
      </c>
    </row>
    <row r="235" spans="1:28" x14ac:dyDescent="0.25">
      <c r="A235" s="30">
        <v>45406</v>
      </c>
      <c r="B235" s="26" t="s">
        <v>676</v>
      </c>
      <c r="C235" s="26" t="s">
        <v>2</v>
      </c>
      <c r="D235" s="26" t="s">
        <v>677</v>
      </c>
      <c r="E235" s="26"/>
      <c r="F235" s="28" t="s">
        <v>1147</v>
      </c>
      <c r="G235" s="26" t="s">
        <v>160</v>
      </c>
      <c r="H235" s="26" t="s">
        <v>325</v>
      </c>
      <c r="I235" s="26" t="s">
        <v>579</v>
      </c>
      <c r="J235" s="30">
        <v>45425</v>
      </c>
      <c r="K235" s="26"/>
      <c r="M235" s="30"/>
      <c r="O235" s="26"/>
      <c r="P235" s="31"/>
      <c r="Q235" s="31"/>
      <c r="R235" s="26"/>
      <c r="S235" s="26"/>
      <c r="T235" s="31"/>
      <c r="U235" s="26"/>
      <c r="V235" s="26">
        <f t="shared" si="18"/>
        <v>1</v>
      </c>
      <c r="W235" s="26">
        <f t="shared" si="22"/>
        <v>0</v>
      </c>
      <c r="X235" s="26">
        <f>Data_Base[[#This Row],[B.N Total]]-Data_Base[[#This Row],[Nbre Brachements exécuté]]</f>
        <v>1</v>
      </c>
      <c r="Y235" s="26" t="str">
        <f t="shared" si="19"/>
        <v>mercredi</v>
      </c>
      <c r="Z235" s="26" t="str">
        <f t="shared" si="20"/>
        <v>24</v>
      </c>
      <c r="AA235" s="26" t="str">
        <f t="shared" si="23"/>
        <v>04</v>
      </c>
      <c r="AB235" s="26" t="str">
        <f t="shared" si="21"/>
        <v>2024</v>
      </c>
    </row>
    <row r="236" spans="1:28" x14ac:dyDescent="0.25">
      <c r="A236" s="30">
        <v>45352</v>
      </c>
      <c r="B236" s="26" t="s">
        <v>678</v>
      </c>
      <c r="C236" s="26" t="s">
        <v>2</v>
      </c>
      <c r="D236" s="26" t="s">
        <v>679</v>
      </c>
      <c r="E236" s="26" t="s">
        <v>142</v>
      </c>
      <c r="F236" s="28" t="s">
        <v>680</v>
      </c>
      <c r="G236" s="26" t="s">
        <v>164</v>
      </c>
      <c r="H236" s="26" t="s">
        <v>165</v>
      </c>
      <c r="I236" s="26" t="s">
        <v>164</v>
      </c>
      <c r="J236" s="30">
        <v>45399</v>
      </c>
      <c r="K236" s="26" t="s">
        <v>546</v>
      </c>
      <c r="L236" s="26" t="s">
        <v>397</v>
      </c>
      <c r="M236" s="30">
        <v>45399</v>
      </c>
      <c r="N236" s="26" t="s">
        <v>397</v>
      </c>
      <c r="O236" s="26" t="s">
        <v>141</v>
      </c>
      <c r="P236" s="31">
        <v>15</v>
      </c>
      <c r="Q236" s="31"/>
      <c r="R236" s="26" t="s">
        <v>547</v>
      </c>
      <c r="S236" s="26" t="s">
        <v>548</v>
      </c>
      <c r="T236" s="31" t="s">
        <v>549</v>
      </c>
      <c r="U236" s="26"/>
      <c r="V236" s="26">
        <f t="shared" si="18"/>
        <v>1</v>
      </c>
      <c r="W236" s="26">
        <f t="shared" si="22"/>
        <v>1</v>
      </c>
      <c r="X236" s="26">
        <f>Data_Base[[#This Row],[B.N Total]]-Data_Base[[#This Row],[Nbre Brachements exécuté]]</f>
        <v>0</v>
      </c>
      <c r="Y236" s="26" t="str">
        <f t="shared" si="19"/>
        <v>vendredi</v>
      </c>
      <c r="Z236" s="26" t="str">
        <f t="shared" si="20"/>
        <v>01</v>
      </c>
      <c r="AA236" s="26" t="str">
        <f t="shared" si="23"/>
        <v>03</v>
      </c>
      <c r="AB236" s="26" t="str">
        <f t="shared" si="21"/>
        <v>2024</v>
      </c>
    </row>
    <row r="237" spans="1:28" x14ac:dyDescent="0.25">
      <c r="A237" s="30">
        <v>45398</v>
      </c>
      <c r="B237" s="26" t="s">
        <v>681</v>
      </c>
      <c r="C237" s="26" t="s">
        <v>3</v>
      </c>
      <c r="D237" s="26" t="s">
        <v>682</v>
      </c>
      <c r="E237" s="26" t="s">
        <v>142</v>
      </c>
      <c r="F237" s="28" t="s">
        <v>683</v>
      </c>
      <c r="G237" s="26" t="s">
        <v>164</v>
      </c>
      <c r="H237" s="26" t="s">
        <v>328</v>
      </c>
      <c r="I237" s="26" t="s">
        <v>164</v>
      </c>
      <c r="J237" s="30">
        <v>45399</v>
      </c>
      <c r="K237" s="26" t="s">
        <v>546</v>
      </c>
      <c r="L237" s="26" t="s">
        <v>684</v>
      </c>
      <c r="M237" s="30">
        <v>45399</v>
      </c>
      <c r="N237" s="26" t="s">
        <v>684</v>
      </c>
      <c r="O237" s="26" t="s">
        <v>141</v>
      </c>
      <c r="P237" s="31">
        <v>15</v>
      </c>
      <c r="Q237" s="31"/>
      <c r="R237" s="26" t="s">
        <v>547</v>
      </c>
      <c r="S237" s="26" t="s">
        <v>548</v>
      </c>
      <c r="T237" s="31" t="s">
        <v>549</v>
      </c>
      <c r="U237" s="26"/>
      <c r="V237" s="26">
        <f t="shared" si="18"/>
        <v>1</v>
      </c>
      <c r="W237" s="26">
        <f t="shared" si="22"/>
        <v>1</v>
      </c>
      <c r="X237" s="26">
        <f>Data_Base[[#This Row],[B.N Total]]-Data_Base[[#This Row],[Nbre Brachements exécuté]]</f>
        <v>0</v>
      </c>
      <c r="Y237" s="26" t="str">
        <f t="shared" si="19"/>
        <v>mardi</v>
      </c>
      <c r="Z237" s="26" t="str">
        <f t="shared" si="20"/>
        <v>16</v>
      </c>
      <c r="AA237" s="26" t="str">
        <f t="shared" si="23"/>
        <v>04</v>
      </c>
      <c r="AB237" s="26" t="str">
        <f t="shared" si="21"/>
        <v>2024</v>
      </c>
    </row>
    <row r="238" spans="1:28" x14ac:dyDescent="0.25">
      <c r="A238" s="30">
        <v>45398</v>
      </c>
      <c r="B238" s="26" t="s">
        <v>685</v>
      </c>
      <c r="C238" s="26" t="s">
        <v>3</v>
      </c>
      <c r="D238" s="26" t="s">
        <v>686</v>
      </c>
      <c r="E238" s="26" t="s">
        <v>200</v>
      </c>
      <c r="F238" s="28" t="s">
        <v>687</v>
      </c>
      <c r="G238" s="26" t="s">
        <v>164</v>
      </c>
      <c r="H238" s="26" t="s">
        <v>328</v>
      </c>
      <c r="I238" s="26" t="s">
        <v>164</v>
      </c>
      <c r="J238" s="30">
        <v>45399</v>
      </c>
      <c r="K238" s="26" t="s">
        <v>546</v>
      </c>
      <c r="L238" s="26" t="s">
        <v>688</v>
      </c>
      <c r="M238" s="30">
        <v>45399</v>
      </c>
      <c r="N238" s="26" t="s">
        <v>688</v>
      </c>
      <c r="O238" s="26" t="s">
        <v>141</v>
      </c>
      <c r="P238" s="31">
        <v>20</v>
      </c>
      <c r="Q238" s="31"/>
      <c r="R238" s="26" t="s">
        <v>547</v>
      </c>
      <c r="S238" s="26" t="s">
        <v>548</v>
      </c>
      <c r="T238" s="31" t="s">
        <v>549</v>
      </c>
      <c r="U238" s="26" t="s">
        <v>550</v>
      </c>
      <c r="V238" s="26">
        <f t="shared" si="18"/>
        <v>1</v>
      </c>
      <c r="W238" s="26">
        <f t="shared" si="22"/>
        <v>1</v>
      </c>
      <c r="X238" s="26">
        <f>Data_Base[[#This Row],[B.N Total]]-Data_Base[[#This Row],[Nbre Brachements exécuté]]</f>
        <v>0</v>
      </c>
      <c r="Y238" s="26" t="str">
        <f t="shared" si="19"/>
        <v>mardi</v>
      </c>
      <c r="Z238" s="26" t="str">
        <f t="shared" si="20"/>
        <v>16</v>
      </c>
      <c r="AA238" s="26" t="str">
        <f t="shared" si="23"/>
        <v>04</v>
      </c>
      <c r="AB238" s="26" t="str">
        <f t="shared" si="21"/>
        <v>2024</v>
      </c>
    </row>
    <row r="239" spans="1:28" x14ac:dyDescent="0.25">
      <c r="A239" s="30">
        <v>45398</v>
      </c>
      <c r="B239" s="26" t="s">
        <v>689</v>
      </c>
      <c r="C239" s="26" t="s">
        <v>2</v>
      </c>
      <c r="D239" s="26" t="s">
        <v>690</v>
      </c>
      <c r="E239" s="26" t="s">
        <v>200</v>
      </c>
      <c r="F239" s="28" t="s">
        <v>691</v>
      </c>
      <c r="G239" s="26" t="s">
        <v>164</v>
      </c>
      <c r="H239" s="26" t="s">
        <v>170</v>
      </c>
      <c r="I239" s="26" t="s">
        <v>164</v>
      </c>
      <c r="J239" s="30">
        <v>45399</v>
      </c>
      <c r="K239" s="26" t="s">
        <v>546</v>
      </c>
      <c r="L239" s="26" t="s">
        <v>692</v>
      </c>
      <c r="M239" s="30">
        <v>45399</v>
      </c>
      <c r="N239" s="26" t="s">
        <v>692</v>
      </c>
      <c r="O239" s="26" t="s">
        <v>141</v>
      </c>
      <c r="P239" s="31">
        <v>15</v>
      </c>
      <c r="Q239" s="31"/>
      <c r="R239" s="26" t="s">
        <v>547</v>
      </c>
      <c r="S239" s="26" t="s">
        <v>548</v>
      </c>
      <c r="T239" s="31" t="s">
        <v>549</v>
      </c>
      <c r="U239" s="26"/>
      <c r="V239" s="26">
        <f t="shared" si="18"/>
        <v>1</v>
      </c>
      <c r="W239" s="26">
        <f t="shared" si="22"/>
        <v>1</v>
      </c>
      <c r="X239" s="26">
        <f>Data_Base[[#This Row],[B.N Total]]-Data_Base[[#This Row],[Nbre Brachements exécuté]]</f>
        <v>0</v>
      </c>
      <c r="Y239" s="26" t="str">
        <f t="shared" si="19"/>
        <v>mardi</v>
      </c>
      <c r="Z239" s="26" t="str">
        <f t="shared" si="20"/>
        <v>16</v>
      </c>
      <c r="AA239" s="26" t="str">
        <f t="shared" si="23"/>
        <v>04</v>
      </c>
      <c r="AB239" s="26" t="str">
        <f t="shared" si="21"/>
        <v>2024</v>
      </c>
    </row>
    <row r="240" spans="1:28" x14ac:dyDescent="0.25">
      <c r="A240" s="30">
        <v>45398</v>
      </c>
      <c r="B240" s="26" t="s">
        <v>693</v>
      </c>
      <c r="C240" s="26" t="s">
        <v>3</v>
      </c>
      <c r="D240" s="26" t="s">
        <v>694</v>
      </c>
      <c r="E240" s="26" t="s">
        <v>142</v>
      </c>
      <c r="F240" s="28" t="s">
        <v>695</v>
      </c>
      <c r="G240" s="26" t="s">
        <v>160</v>
      </c>
      <c r="H240" s="26" t="s">
        <v>161</v>
      </c>
      <c r="I240" s="26" t="s">
        <v>160</v>
      </c>
      <c r="J240" s="30">
        <v>45399</v>
      </c>
      <c r="K240" s="26" t="s">
        <v>546</v>
      </c>
      <c r="L240" s="26" t="s">
        <v>696</v>
      </c>
      <c r="M240" s="30">
        <v>45399</v>
      </c>
      <c r="N240" s="26" t="s">
        <v>696</v>
      </c>
      <c r="O240" s="26" t="s">
        <v>141</v>
      </c>
      <c r="P240" s="31">
        <v>15</v>
      </c>
      <c r="Q240" s="31"/>
      <c r="R240" s="26" t="s">
        <v>547</v>
      </c>
      <c r="S240" s="26" t="s">
        <v>548</v>
      </c>
      <c r="T240" s="31" t="s">
        <v>549</v>
      </c>
      <c r="U240" s="26"/>
      <c r="V240" s="26">
        <f t="shared" si="18"/>
        <v>1</v>
      </c>
      <c r="W240" s="26">
        <f t="shared" si="22"/>
        <v>1</v>
      </c>
      <c r="X240" s="26">
        <f>Data_Base[[#This Row],[B.N Total]]-Data_Base[[#This Row],[Nbre Brachements exécuté]]</f>
        <v>0</v>
      </c>
      <c r="Y240" s="26" t="str">
        <f t="shared" si="19"/>
        <v>mardi</v>
      </c>
      <c r="Z240" s="26" t="str">
        <f t="shared" si="20"/>
        <v>16</v>
      </c>
      <c r="AA240" s="26" t="str">
        <f t="shared" si="23"/>
        <v>04</v>
      </c>
      <c r="AB240" s="26" t="str">
        <f t="shared" si="21"/>
        <v>2024</v>
      </c>
    </row>
    <row r="241" spans="1:28" x14ac:dyDescent="0.25">
      <c r="A241" s="30">
        <v>45398</v>
      </c>
      <c r="B241" s="26" t="s">
        <v>697</v>
      </c>
      <c r="C241" s="26" t="s">
        <v>2</v>
      </c>
      <c r="D241" s="26" t="s">
        <v>698</v>
      </c>
      <c r="E241" s="26" t="s">
        <v>699</v>
      </c>
      <c r="F241" s="28" t="s">
        <v>700</v>
      </c>
      <c r="G241" s="26" t="s">
        <v>160</v>
      </c>
      <c r="H241" s="26" t="s">
        <v>344</v>
      </c>
      <c r="I241" s="26" t="s">
        <v>160</v>
      </c>
      <c r="J241" s="30">
        <v>45399</v>
      </c>
      <c r="K241" s="26" t="s">
        <v>546</v>
      </c>
      <c r="L241" s="26" t="s">
        <v>701</v>
      </c>
      <c r="M241" s="30">
        <v>45405</v>
      </c>
      <c r="N241" s="26" t="s">
        <v>702</v>
      </c>
      <c r="O241" s="26" t="s">
        <v>141</v>
      </c>
      <c r="P241" s="31">
        <v>30</v>
      </c>
      <c r="Q241" s="31"/>
      <c r="R241" s="26" t="s">
        <v>547</v>
      </c>
      <c r="S241" s="26" t="s">
        <v>548</v>
      </c>
      <c r="T241" s="31" t="s">
        <v>549</v>
      </c>
      <c r="U241" s="26"/>
      <c r="V241" s="26">
        <f t="shared" si="18"/>
        <v>1</v>
      </c>
      <c r="W241" s="26">
        <f t="shared" si="22"/>
        <v>1</v>
      </c>
      <c r="X241" s="26">
        <f>Data_Base[[#This Row],[B.N Total]]-Data_Base[[#This Row],[Nbre Brachements exécuté]]</f>
        <v>0</v>
      </c>
      <c r="Y241" s="26" t="str">
        <f t="shared" si="19"/>
        <v>mardi</v>
      </c>
      <c r="Z241" s="26" t="str">
        <f t="shared" si="20"/>
        <v>16</v>
      </c>
      <c r="AA241" s="26" t="str">
        <f t="shared" si="23"/>
        <v>04</v>
      </c>
      <c r="AB241" s="26" t="str">
        <f t="shared" si="21"/>
        <v>2024</v>
      </c>
    </row>
    <row r="242" spans="1:28" x14ac:dyDescent="0.25">
      <c r="A242" s="30">
        <v>45398</v>
      </c>
      <c r="B242" s="26" t="s">
        <v>703</v>
      </c>
      <c r="C242" s="26" t="s">
        <v>2</v>
      </c>
      <c r="D242" s="26" t="s">
        <v>704</v>
      </c>
      <c r="E242" s="26" t="s">
        <v>142</v>
      </c>
      <c r="F242" s="28" t="s">
        <v>705</v>
      </c>
      <c r="G242" s="26" t="s">
        <v>164</v>
      </c>
      <c r="H242" s="26" t="s">
        <v>170</v>
      </c>
      <c r="I242" s="26" t="s">
        <v>164</v>
      </c>
      <c r="J242" s="30">
        <v>45399</v>
      </c>
      <c r="K242" s="26" t="s">
        <v>546</v>
      </c>
      <c r="L242" s="26" t="s">
        <v>706</v>
      </c>
      <c r="M242" s="30">
        <v>45399</v>
      </c>
      <c r="N242" s="26" t="s">
        <v>706</v>
      </c>
      <c r="O242" s="26" t="s">
        <v>141</v>
      </c>
      <c r="P242" s="31">
        <v>30</v>
      </c>
      <c r="Q242" s="31"/>
      <c r="R242" s="26" t="s">
        <v>547</v>
      </c>
      <c r="S242" s="26" t="s">
        <v>548</v>
      </c>
      <c r="T242" s="31" t="s">
        <v>549</v>
      </c>
      <c r="U242" s="26"/>
      <c r="V242" s="26">
        <f t="shared" si="18"/>
        <v>1</v>
      </c>
      <c r="W242" s="26">
        <f t="shared" si="22"/>
        <v>1</v>
      </c>
      <c r="X242" s="26">
        <f>Data_Base[[#This Row],[B.N Total]]-Data_Base[[#This Row],[Nbre Brachements exécuté]]</f>
        <v>0</v>
      </c>
      <c r="Y242" s="26" t="str">
        <f t="shared" si="19"/>
        <v>mardi</v>
      </c>
      <c r="Z242" s="26" t="str">
        <f t="shared" si="20"/>
        <v>16</v>
      </c>
      <c r="AA242" s="26" t="str">
        <f t="shared" si="23"/>
        <v>04</v>
      </c>
      <c r="AB242" s="26" t="str">
        <f t="shared" si="21"/>
        <v>2024</v>
      </c>
    </row>
    <row r="243" spans="1:28" x14ac:dyDescent="0.25">
      <c r="A243" s="30">
        <v>45398</v>
      </c>
      <c r="B243" s="26" t="s">
        <v>707</v>
      </c>
      <c r="C243" s="26" t="s">
        <v>2</v>
      </c>
      <c r="D243" s="26" t="s">
        <v>708</v>
      </c>
      <c r="E243" s="26" t="s">
        <v>699</v>
      </c>
      <c r="F243" s="28" t="s">
        <v>709</v>
      </c>
      <c r="G243" s="26" t="s">
        <v>164</v>
      </c>
      <c r="H243" s="26" t="s">
        <v>170</v>
      </c>
      <c r="I243" s="26" t="s">
        <v>164</v>
      </c>
      <c r="J243" s="30">
        <v>45399</v>
      </c>
      <c r="K243" s="26" t="s">
        <v>546</v>
      </c>
      <c r="L243" s="26" t="s">
        <v>710</v>
      </c>
      <c r="M243" s="30">
        <v>45399</v>
      </c>
      <c r="N243" s="26" t="s">
        <v>710</v>
      </c>
      <c r="O243" s="26" t="s">
        <v>141</v>
      </c>
      <c r="P243" s="31">
        <v>15</v>
      </c>
      <c r="Q243" s="31"/>
      <c r="R243" s="26" t="s">
        <v>547</v>
      </c>
      <c r="S243" s="26" t="s">
        <v>548</v>
      </c>
      <c r="T243" s="31" t="s">
        <v>549</v>
      </c>
      <c r="U243" s="26"/>
      <c r="V243" s="26">
        <f t="shared" si="18"/>
        <v>1</v>
      </c>
      <c r="W243" s="26">
        <f t="shared" si="22"/>
        <v>1</v>
      </c>
      <c r="X243" s="26">
        <f>Data_Base[[#This Row],[B.N Total]]-Data_Base[[#This Row],[Nbre Brachements exécuté]]</f>
        <v>0</v>
      </c>
      <c r="Y243" s="26" t="str">
        <f t="shared" si="19"/>
        <v>mardi</v>
      </c>
      <c r="Z243" s="26" t="str">
        <f t="shared" si="20"/>
        <v>16</v>
      </c>
      <c r="AA243" s="26" t="str">
        <f t="shared" si="23"/>
        <v>04</v>
      </c>
      <c r="AB243" s="26" t="str">
        <f t="shared" si="21"/>
        <v>2024</v>
      </c>
    </row>
    <row r="244" spans="1:28" x14ac:dyDescent="0.25">
      <c r="A244" s="30">
        <v>45398</v>
      </c>
      <c r="B244" s="26" t="s">
        <v>711</v>
      </c>
      <c r="C244" s="26" t="s">
        <v>3</v>
      </c>
      <c r="D244" s="26" t="s">
        <v>712</v>
      </c>
      <c r="E244" s="26" t="s">
        <v>713</v>
      </c>
      <c r="F244" s="28" t="s">
        <v>714</v>
      </c>
      <c r="G244" s="26" t="s">
        <v>164</v>
      </c>
      <c r="H244" s="26" t="s">
        <v>221</v>
      </c>
      <c r="I244" s="26" t="s">
        <v>164</v>
      </c>
      <c r="J244" s="30">
        <v>45399</v>
      </c>
      <c r="K244" s="26" t="s">
        <v>546</v>
      </c>
      <c r="L244" s="26" t="s">
        <v>715</v>
      </c>
      <c r="M244" s="30">
        <v>45399</v>
      </c>
      <c r="N244" s="26" t="s">
        <v>715</v>
      </c>
      <c r="O244" s="26" t="s">
        <v>141</v>
      </c>
      <c r="P244" s="31">
        <v>20</v>
      </c>
      <c r="Q244" s="31"/>
      <c r="R244" s="26" t="s">
        <v>547</v>
      </c>
      <c r="S244" s="26" t="s">
        <v>548</v>
      </c>
      <c r="T244" s="31" t="s">
        <v>549</v>
      </c>
      <c r="U244" s="26"/>
      <c r="V244" s="26">
        <f t="shared" si="18"/>
        <v>1</v>
      </c>
      <c r="W244" s="26">
        <f t="shared" si="22"/>
        <v>1</v>
      </c>
      <c r="X244" s="26">
        <f>Data_Base[[#This Row],[B.N Total]]-Data_Base[[#This Row],[Nbre Brachements exécuté]]</f>
        <v>0</v>
      </c>
      <c r="Y244" s="26" t="str">
        <f t="shared" si="19"/>
        <v>mardi</v>
      </c>
      <c r="Z244" s="26" t="str">
        <f t="shared" si="20"/>
        <v>16</v>
      </c>
      <c r="AA244" s="26" t="str">
        <f t="shared" si="23"/>
        <v>04</v>
      </c>
      <c r="AB244" s="26" t="str">
        <f t="shared" si="21"/>
        <v>2024</v>
      </c>
    </row>
    <row r="245" spans="1:28" x14ac:dyDescent="0.25">
      <c r="A245" s="30">
        <v>45398</v>
      </c>
      <c r="B245" s="26" t="s">
        <v>716</v>
      </c>
      <c r="C245" s="26" t="s">
        <v>66</v>
      </c>
      <c r="D245" s="26" t="s">
        <v>717</v>
      </c>
      <c r="E245" s="26" t="s">
        <v>142</v>
      </c>
      <c r="F245" s="28" t="s">
        <v>231</v>
      </c>
      <c r="G245" s="26" t="s">
        <v>164</v>
      </c>
      <c r="H245" s="26" t="s">
        <v>170</v>
      </c>
      <c r="I245" s="26" t="s">
        <v>164</v>
      </c>
      <c r="J245" s="30">
        <v>45399</v>
      </c>
      <c r="K245" s="26" t="s">
        <v>546</v>
      </c>
      <c r="L245" s="26" t="s">
        <v>718</v>
      </c>
      <c r="M245" s="30">
        <v>45399</v>
      </c>
      <c r="N245" s="26" t="s">
        <v>718</v>
      </c>
      <c r="O245" s="26" t="s">
        <v>141</v>
      </c>
      <c r="P245" s="31">
        <v>15</v>
      </c>
      <c r="Q245" s="31"/>
      <c r="R245" s="26" t="s">
        <v>547</v>
      </c>
      <c r="S245" s="26" t="s">
        <v>548</v>
      </c>
      <c r="T245" s="31" t="s">
        <v>549</v>
      </c>
      <c r="U245" s="26"/>
      <c r="V245" s="26">
        <f t="shared" si="18"/>
        <v>1</v>
      </c>
      <c r="W245" s="26">
        <f t="shared" si="22"/>
        <v>1</v>
      </c>
      <c r="X245" s="26">
        <f>Data_Base[[#This Row],[B.N Total]]-Data_Base[[#This Row],[Nbre Brachements exécuté]]</f>
        <v>0</v>
      </c>
      <c r="Y245" s="26" t="str">
        <f t="shared" si="19"/>
        <v>mardi</v>
      </c>
      <c r="Z245" s="26" t="str">
        <f t="shared" si="20"/>
        <v>16</v>
      </c>
      <c r="AA245" s="26" t="str">
        <f t="shared" si="23"/>
        <v>04</v>
      </c>
      <c r="AB245" s="26" t="str">
        <f t="shared" si="21"/>
        <v>2024</v>
      </c>
    </row>
    <row r="246" spans="1:28" x14ac:dyDescent="0.25">
      <c r="A246" s="30">
        <v>45398</v>
      </c>
      <c r="B246" s="26" t="s">
        <v>77</v>
      </c>
      <c r="C246" s="26" t="s">
        <v>66</v>
      </c>
      <c r="D246" s="26" t="s">
        <v>719</v>
      </c>
      <c r="E246" s="26" t="s">
        <v>142</v>
      </c>
      <c r="F246" s="28" t="s">
        <v>387</v>
      </c>
      <c r="G246" s="26" t="s">
        <v>160</v>
      </c>
      <c r="H246" s="26" t="s">
        <v>344</v>
      </c>
      <c r="I246" s="26" t="s">
        <v>160</v>
      </c>
      <c r="J246" s="30">
        <v>45399</v>
      </c>
      <c r="K246" s="26" t="s">
        <v>546</v>
      </c>
      <c r="L246" s="26" t="s">
        <v>720</v>
      </c>
      <c r="M246" s="30">
        <v>45399</v>
      </c>
      <c r="N246" s="26" t="s">
        <v>720</v>
      </c>
      <c r="O246" s="26" t="s">
        <v>141</v>
      </c>
      <c r="P246" s="31">
        <v>15</v>
      </c>
      <c r="Q246" s="31"/>
      <c r="R246" s="26" t="s">
        <v>547</v>
      </c>
      <c r="S246" s="26" t="s">
        <v>548</v>
      </c>
      <c r="T246" s="31" t="s">
        <v>549</v>
      </c>
      <c r="U246" s="26"/>
      <c r="V246" s="26">
        <f t="shared" si="18"/>
        <v>1</v>
      </c>
      <c r="W246" s="26">
        <f t="shared" si="22"/>
        <v>1</v>
      </c>
      <c r="X246" s="26">
        <f>Data_Base[[#This Row],[B.N Total]]-Data_Base[[#This Row],[Nbre Brachements exécuté]]</f>
        <v>0</v>
      </c>
      <c r="Y246" s="26" t="str">
        <f t="shared" si="19"/>
        <v>mardi</v>
      </c>
      <c r="Z246" s="26" t="str">
        <f t="shared" si="20"/>
        <v>16</v>
      </c>
      <c r="AA246" s="26" t="str">
        <f t="shared" si="23"/>
        <v>04</v>
      </c>
      <c r="AB246" s="26" t="str">
        <f t="shared" si="21"/>
        <v>2024</v>
      </c>
    </row>
    <row r="247" spans="1:28" x14ac:dyDescent="0.25">
      <c r="A247" s="30">
        <v>45398</v>
      </c>
      <c r="B247" s="26" t="s">
        <v>721</v>
      </c>
      <c r="C247" s="26" t="s">
        <v>66</v>
      </c>
      <c r="D247" s="26" t="s">
        <v>722</v>
      </c>
      <c r="E247" s="26" t="s">
        <v>723</v>
      </c>
      <c r="G247" s="26" t="s">
        <v>164</v>
      </c>
      <c r="H247" s="26" t="s">
        <v>221</v>
      </c>
      <c r="I247" s="26" t="s">
        <v>164</v>
      </c>
      <c r="J247" s="30">
        <v>45385</v>
      </c>
      <c r="K247" s="26" t="s">
        <v>546</v>
      </c>
      <c r="L247" s="26" t="s">
        <v>724</v>
      </c>
      <c r="M247" s="30">
        <v>45385</v>
      </c>
      <c r="N247" s="26" t="s">
        <v>724</v>
      </c>
      <c r="O247" s="26" t="s">
        <v>725</v>
      </c>
      <c r="P247" s="31">
        <v>100</v>
      </c>
      <c r="Q247" s="31"/>
      <c r="R247" s="26" t="s">
        <v>547</v>
      </c>
      <c r="S247" s="26" t="s">
        <v>548</v>
      </c>
      <c r="T247" s="31" t="s">
        <v>549</v>
      </c>
      <c r="U247" s="26" t="s">
        <v>550</v>
      </c>
      <c r="V247" s="26">
        <f t="shared" si="18"/>
        <v>1</v>
      </c>
      <c r="W247" s="26">
        <f t="shared" si="22"/>
        <v>1</v>
      </c>
      <c r="X247" s="26">
        <f>Data_Base[[#This Row],[B.N Total]]-Data_Base[[#This Row],[Nbre Brachements exécuté]]</f>
        <v>0</v>
      </c>
      <c r="Y247" s="26" t="str">
        <f t="shared" si="19"/>
        <v>mardi</v>
      </c>
      <c r="Z247" s="26" t="str">
        <f t="shared" si="20"/>
        <v>16</v>
      </c>
      <c r="AA247" s="26" t="str">
        <f t="shared" si="23"/>
        <v>04</v>
      </c>
      <c r="AB247" s="26" t="str">
        <f t="shared" si="21"/>
        <v>2024</v>
      </c>
    </row>
    <row r="248" spans="1:28" x14ac:dyDescent="0.25">
      <c r="A248" s="30">
        <v>45407</v>
      </c>
      <c r="B248" s="26" t="s">
        <v>726</v>
      </c>
      <c r="C248" s="26" t="s">
        <v>66</v>
      </c>
      <c r="D248" s="26" t="s">
        <v>727</v>
      </c>
      <c r="E248" s="26"/>
      <c r="G248" s="26"/>
      <c r="H248" s="26"/>
      <c r="I248" s="26"/>
      <c r="J248" s="30"/>
      <c r="K248" s="26"/>
      <c r="M248" s="30"/>
      <c r="O248" s="26"/>
      <c r="P248" s="31"/>
      <c r="Q248" s="31"/>
      <c r="R248" s="26"/>
      <c r="S248" s="26"/>
      <c r="T248" s="31"/>
      <c r="U248" s="26"/>
      <c r="V248" s="26">
        <f t="shared" si="18"/>
        <v>1</v>
      </c>
      <c r="W248" s="26">
        <f t="shared" si="22"/>
        <v>0</v>
      </c>
      <c r="X248" s="26">
        <f>Data_Base[[#This Row],[B.N Total]]-Data_Base[[#This Row],[Nbre Brachements exécuté]]</f>
        <v>1</v>
      </c>
      <c r="Y248" s="26" t="str">
        <f t="shared" si="19"/>
        <v>jeudi</v>
      </c>
      <c r="Z248" s="26" t="str">
        <f t="shared" si="20"/>
        <v>25</v>
      </c>
      <c r="AA248" s="26" t="str">
        <f t="shared" si="23"/>
        <v>04</v>
      </c>
      <c r="AB248" s="26" t="str">
        <f t="shared" si="21"/>
        <v>2024</v>
      </c>
    </row>
    <row r="249" spans="1:28" x14ac:dyDescent="0.25">
      <c r="A249" s="30">
        <v>45407</v>
      </c>
      <c r="B249" s="26" t="s">
        <v>728</v>
      </c>
      <c r="C249" s="26" t="s">
        <v>66</v>
      </c>
      <c r="D249" s="26" t="s">
        <v>729</v>
      </c>
      <c r="E249" s="26"/>
      <c r="G249" s="26"/>
      <c r="H249" s="26"/>
      <c r="I249" s="26"/>
      <c r="J249" s="30"/>
      <c r="K249" s="26"/>
      <c r="M249" s="30"/>
      <c r="O249" s="26"/>
      <c r="P249" s="31"/>
      <c r="Q249" s="31"/>
      <c r="R249" s="26"/>
      <c r="S249" s="26"/>
      <c r="T249" s="31"/>
      <c r="U249" s="26"/>
      <c r="V249" s="26">
        <f t="shared" si="18"/>
        <v>1</v>
      </c>
      <c r="W249" s="26">
        <f t="shared" si="22"/>
        <v>0</v>
      </c>
      <c r="X249" s="26">
        <f>Data_Base[[#This Row],[B.N Total]]-Data_Base[[#This Row],[Nbre Brachements exécuté]]</f>
        <v>1</v>
      </c>
      <c r="Y249" s="26" t="str">
        <f t="shared" si="19"/>
        <v>jeudi</v>
      </c>
      <c r="Z249" s="26" t="str">
        <f t="shared" si="20"/>
        <v>25</v>
      </c>
      <c r="AA249" s="26" t="str">
        <f t="shared" si="23"/>
        <v>04</v>
      </c>
      <c r="AB249" s="26" t="str">
        <f t="shared" si="21"/>
        <v>2024</v>
      </c>
    </row>
    <row r="250" spans="1:28" x14ac:dyDescent="0.25">
      <c r="A250" s="30">
        <v>45407</v>
      </c>
      <c r="B250" s="26" t="s">
        <v>730</v>
      </c>
      <c r="C250" s="26" t="s">
        <v>66</v>
      </c>
      <c r="D250" s="26" t="s">
        <v>731</v>
      </c>
      <c r="E250" s="26"/>
      <c r="F250" s="28" t="s">
        <v>732</v>
      </c>
      <c r="G250" s="26" t="s">
        <v>160</v>
      </c>
      <c r="H250" s="26" t="s">
        <v>344</v>
      </c>
      <c r="I250" s="26" t="s">
        <v>556</v>
      </c>
      <c r="J250" s="30">
        <v>45419</v>
      </c>
      <c r="K250" s="26" t="s">
        <v>546</v>
      </c>
      <c r="M250" s="30"/>
      <c r="O250" s="26"/>
      <c r="P250" s="31"/>
      <c r="Q250" s="31"/>
      <c r="R250" s="26"/>
      <c r="S250" s="26"/>
      <c r="T250" s="31"/>
      <c r="U250" s="26"/>
      <c r="V250" s="26">
        <f t="shared" si="18"/>
        <v>1</v>
      </c>
      <c r="W250" s="26">
        <f t="shared" si="22"/>
        <v>0</v>
      </c>
      <c r="X250" s="26">
        <f>Data_Base[[#This Row],[B.N Total]]-Data_Base[[#This Row],[Nbre Brachements exécuté]]</f>
        <v>1</v>
      </c>
      <c r="Y250" s="26" t="str">
        <f t="shared" si="19"/>
        <v>jeudi</v>
      </c>
      <c r="Z250" s="26" t="str">
        <f t="shared" si="20"/>
        <v>25</v>
      </c>
      <c r="AA250" s="26" t="str">
        <f t="shared" si="23"/>
        <v>04</v>
      </c>
      <c r="AB250" s="26" t="str">
        <f t="shared" si="21"/>
        <v>2024</v>
      </c>
    </row>
    <row r="251" spans="1:28" x14ac:dyDescent="0.25">
      <c r="A251" s="30">
        <v>45407</v>
      </c>
      <c r="B251" s="26" t="s">
        <v>733</v>
      </c>
      <c r="C251" s="26" t="s">
        <v>66</v>
      </c>
      <c r="D251" s="26" t="s">
        <v>734</v>
      </c>
      <c r="E251" s="26"/>
      <c r="G251" s="26"/>
      <c r="H251" s="26"/>
      <c r="I251" s="26"/>
      <c r="J251" s="30"/>
      <c r="K251" s="26"/>
      <c r="M251" s="30"/>
      <c r="O251" s="26"/>
      <c r="P251" s="31"/>
      <c r="Q251" s="31"/>
      <c r="R251" s="26"/>
      <c r="S251" s="26"/>
      <c r="T251" s="31"/>
      <c r="U251" s="26"/>
      <c r="V251" s="26">
        <f t="shared" si="18"/>
        <v>1</v>
      </c>
      <c r="W251" s="26">
        <f t="shared" si="22"/>
        <v>0</v>
      </c>
      <c r="X251" s="26">
        <f>Data_Base[[#This Row],[B.N Total]]-Data_Base[[#This Row],[Nbre Brachements exécuté]]</f>
        <v>1</v>
      </c>
      <c r="Y251" s="26" t="str">
        <f t="shared" si="19"/>
        <v>jeudi</v>
      </c>
      <c r="Z251" s="26" t="str">
        <f t="shared" si="20"/>
        <v>25</v>
      </c>
      <c r="AA251" s="26" t="str">
        <f t="shared" si="23"/>
        <v>04</v>
      </c>
      <c r="AB251" s="26" t="str">
        <f t="shared" si="21"/>
        <v>2024</v>
      </c>
    </row>
    <row r="252" spans="1:28" x14ac:dyDescent="0.25">
      <c r="A252" s="30">
        <v>45407</v>
      </c>
      <c r="B252" s="26" t="s">
        <v>735</v>
      </c>
      <c r="C252" s="26" t="s">
        <v>66</v>
      </c>
      <c r="D252" s="26" t="s">
        <v>736</v>
      </c>
      <c r="E252" s="26"/>
      <c r="G252" s="26"/>
      <c r="H252" s="26"/>
      <c r="I252" s="26"/>
      <c r="J252" s="30"/>
      <c r="K252" s="26"/>
      <c r="M252" s="30"/>
      <c r="O252" s="26"/>
      <c r="P252" s="31"/>
      <c r="Q252" s="31"/>
      <c r="R252" s="26"/>
      <c r="S252" s="26"/>
      <c r="T252" s="31"/>
      <c r="U252" s="26"/>
      <c r="V252" s="26">
        <f t="shared" si="18"/>
        <v>1</v>
      </c>
      <c r="W252" s="26">
        <f t="shared" si="22"/>
        <v>0</v>
      </c>
      <c r="X252" s="26">
        <f>Data_Base[[#This Row],[B.N Total]]-Data_Base[[#This Row],[Nbre Brachements exécuté]]</f>
        <v>1</v>
      </c>
      <c r="Y252" s="26" t="str">
        <f t="shared" si="19"/>
        <v>jeudi</v>
      </c>
      <c r="Z252" s="26" t="str">
        <f t="shared" si="20"/>
        <v>25</v>
      </c>
      <c r="AA252" s="26" t="str">
        <f t="shared" si="23"/>
        <v>04</v>
      </c>
      <c r="AB252" s="26" t="str">
        <f t="shared" si="21"/>
        <v>2024</v>
      </c>
    </row>
    <row r="253" spans="1:28" x14ac:dyDescent="0.25">
      <c r="A253" s="30">
        <v>45407</v>
      </c>
      <c r="B253" s="26" t="s">
        <v>735</v>
      </c>
      <c r="C253" s="26" t="s">
        <v>66</v>
      </c>
      <c r="D253" s="26" t="s">
        <v>737</v>
      </c>
      <c r="E253" s="26"/>
      <c r="G253" s="26"/>
      <c r="H253" s="26"/>
      <c r="I253" s="26"/>
      <c r="J253" s="30"/>
      <c r="K253" s="26"/>
      <c r="M253" s="30"/>
      <c r="O253" s="26"/>
      <c r="P253" s="31"/>
      <c r="Q253" s="31"/>
      <c r="R253" s="26"/>
      <c r="S253" s="26"/>
      <c r="T253" s="31"/>
      <c r="U253" s="26"/>
      <c r="V253" s="26">
        <f t="shared" si="18"/>
        <v>1</v>
      </c>
      <c r="W253" s="26">
        <f t="shared" si="22"/>
        <v>0</v>
      </c>
      <c r="X253" s="26">
        <f>Data_Base[[#This Row],[B.N Total]]-Data_Base[[#This Row],[Nbre Brachements exécuté]]</f>
        <v>1</v>
      </c>
      <c r="Y253" s="26" t="str">
        <f t="shared" si="19"/>
        <v>jeudi</v>
      </c>
      <c r="Z253" s="26" t="str">
        <f t="shared" si="20"/>
        <v>25</v>
      </c>
      <c r="AA253" s="26" t="str">
        <f t="shared" si="23"/>
        <v>04</v>
      </c>
      <c r="AB253" s="26" t="str">
        <f t="shared" si="21"/>
        <v>2024</v>
      </c>
    </row>
    <row r="254" spans="1:28" x14ac:dyDescent="0.25">
      <c r="A254" s="30">
        <v>45407</v>
      </c>
      <c r="B254" s="26" t="s">
        <v>735</v>
      </c>
      <c r="C254" s="26" t="s">
        <v>66</v>
      </c>
      <c r="D254" s="26" t="s">
        <v>738</v>
      </c>
      <c r="E254" s="26"/>
      <c r="G254" s="26"/>
      <c r="H254" s="26"/>
      <c r="I254" s="26"/>
      <c r="J254" s="30"/>
      <c r="K254" s="26"/>
      <c r="M254" s="30"/>
      <c r="O254" s="26"/>
      <c r="P254" s="31"/>
      <c r="Q254" s="31"/>
      <c r="R254" s="26"/>
      <c r="S254" s="26"/>
      <c r="T254" s="31"/>
      <c r="U254" s="26"/>
      <c r="V254" s="26">
        <f t="shared" si="18"/>
        <v>1</v>
      </c>
      <c r="W254" s="26">
        <f t="shared" si="22"/>
        <v>0</v>
      </c>
      <c r="X254" s="26">
        <f>Data_Base[[#This Row],[B.N Total]]-Data_Base[[#This Row],[Nbre Brachements exécuté]]</f>
        <v>1</v>
      </c>
      <c r="Y254" s="26" t="str">
        <f t="shared" si="19"/>
        <v>jeudi</v>
      </c>
      <c r="Z254" s="26" t="str">
        <f t="shared" si="20"/>
        <v>25</v>
      </c>
      <c r="AA254" s="26" t="str">
        <f t="shared" si="23"/>
        <v>04</v>
      </c>
      <c r="AB254" s="26" t="str">
        <f t="shared" si="21"/>
        <v>2024</v>
      </c>
    </row>
    <row r="255" spans="1:28" x14ac:dyDescent="0.25">
      <c r="A255" s="30">
        <v>45407</v>
      </c>
      <c r="B255" s="26" t="s">
        <v>739</v>
      </c>
      <c r="C255" s="26" t="s">
        <v>66</v>
      </c>
      <c r="D255" s="26" t="s">
        <v>740</v>
      </c>
      <c r="E255" s="26"/>
      <c r="G255" s="26"/>
      <c r="H255" s="26"/>
      <c r="I255" s="26"/>
      <c r="J255" s="30"/>
      <c r="K255" s="26"/>
      <c r="M255" s="30"/>
      <c r="O255" s="26"/>
      <c r="P255" s="31"/>
      <c r="Q255" s="31"/>
      <c r="R255" s="26"/>
      <c r="S255" s="26"/>
      <c r="T255" s="31"/>
      <c r="U255" s="26"/>
      <c r="V255" s="26">
        <f t="shared" si="18"/>
        <v>1</v>
      </c>
      <c r="W255" s="26">
        <f t="shared" si="22"/>
        <v>0</v>
      </c>
      <c r="X255" s="26">
        <f>Data_Base[[#This Row],[B.N Total]]-Data_Base[[#This Row],[Nbre Brachements exécuté]]</f>
        <v>1</v>
      </c>
      <c r="Y255" s="26" t="str">
        <f t="shared" si="19"/>
        <v>jeudi</v>
      </c>
      <c r="Z255" s="26" t="str">
        <f t="shared" si="20"/>
        <v>25</v>
      </c>
      <c r="AA255" s="26" t="str">
        <f t="shared" si="23"/>
        <v>04</v>
      </c>
      <c r="AB255" s="26" t="str">
        <f t="shared" si="21"/>
        <v>2024</v>
      </c>
    </row>
    <row r="256" spans="1:28" x14ac:dyDescent="0.25">
      <c r="A256" s="30">
        <v>45407</v>
      </c>
      <c r="B256" s="26" t="s">
        <v>741</v>
      </c>
      <c r="C256" s="26" t="s">
        <v>66</v>
      </c>
      <c r="D256" s="26" t="s">
        <v>742</v>
      </c>
      <c r="E256" s="26"/>
      <c r="G256" s="26"/>
      <c r="H256" s="26"/>
      <c r="I256" s="26"/>
      <c r="J256" s="30"/>
      <c r="K256" s="26"/>
      <c r="M256" s="30"/>
      <c r="O256" s="26"/>
      <c r="P256" s="31"/>
      <c r="Q256" s="31"/>
      <c r="R256" s="26"/>
      <c r="S256" s="26"/>
      <c r="T256" s="31"/>
      <c r="U256" s="26"/>
      <c r="V256" s="26">
        <f t="shared" si="18"/>
        <v>1</v>
      </c>
      <c r="W256" s="26">
        <f t="shared" si="22"/>
        <v>0</v>
      </c>
      <c r="X256" s="26">
        <f>Data_Base[[#This Row],[B.N Total]]-Data_Base[[#This Row],[Nbre Brachements exécuté]]</f>
        <v>1</v>
      </c>
      <c r="Y256" s="26" t="str">
        <f t="shared" si="19"/>
        <v>jeudi</v>
      </c>
      <c r="Z256" s="26" t="str">
        <f t="shared" si="20"/>
        <v>25</v>
      </c>
      <c r="AA256" s="26" t="str">
        <f t="shared" si="23"/>
        <v>04</v>
      </c>
      <c r="AB256" s="26" t="str">
        <f t="shared" si="21"/>
        <v>2024</v>
      </c>
    </row>
    <row r="257" spans="1:28" x14ac:dyDescent="0.25">
      <c r="A257" s="30">
        <v>45407</v>
      </c>
      <c r="B257" s="26" t="s">
        <v>743</v>
      </c>
      <c r="C257" s="26" t="s">
        <v>66</v>
      </c>
      <c r="D257" s="26" t="s">
        <v>744</v>
      </c>
      <c r="E257" s="26"/>
      <c r="G257" s="26"/>
      <c r="H257" s="26"/>
      <c r="I257" s="26"/>
      <c r="J257" s="30"/>
      <c r="K257" s="26"/>
      <c r="M257" s="30"/>
      <c r="O257" s="26"/>
      <c r="P257" s="31"/>
      <c r="Q257" s="31"/>
      <c r="R257" s="26"/>
      <c r="S257" s="26"/>
      <c r="T257" s="31"/>
      <c r="U257" s="26"/>
      <c r="V257" s="26">
        <f t="shared" si="18"/>
        <v>1</v>
      </c>
      <c r="W257" s="26">
        <f t="shared" si="22"/>
        <v>0</v>
      </c>
      <c r="X257" s="26">
        <f>Data_Base[[#This Row],[B.N Total]]-Data_Base[[#This Row],[Nbre Brachements exécuté]]</f>
        <v>1</v>
      </c>
      <c r="Y257" s="26" t="str">
        <f t="shared" si="19"/>
        <v>jeudi</v>
      </c>
      <c r="Z257" s="26" t="str">
        <f t="shared" si="20"/>
        <v>25</v>
      </c>
      <c r="AA257" s="26" t="str">
        <f t="shared" si="23"/>
        <v>04</v>
      </c>
      <c r="AB257" s="26" t="str">
        <f t="shared" si="21"/>
        <v>2024</v>
      </c>
    </row>
    <row r="258" spans="1:28" x14ac:dyDescent="0.25">
      <c r="A258" s="30">
        <v>45407</v>
      </c>
      <c r="B258" s="26" t="s">
        <v>745</v>
      </c>
      <c r="C258" s="26" t="s">
        <v>66</v>
      </c>
      <c r="D258" s="26" t="s">
        <v>746</v>
      </c>
      <c r="E258" s="26" t="s">
        <v>142</v>
      </c>
      <c r="F258" s="28" t="s">
        <v>747</v>
      </c>
      <c r="G258" s="26" t="s">
        <v>160</v>
      </c>
      <c r="H258" s="26" t="s">
        <v>325</v>
      </c>
      <c r="I258" s="26" t="s">
        <v>160</v>
      </c>
      <c r="J258" s="30">
        <v>45408</v>
      </c>
      <c r="K258" s="26" t="s">
        <v>546</v>
      </c>
      <c r="L258" s="26" t="s">
        <v>748</v>
      </c>
      <c r="M258" s="30">
        <v>45408</v>
      </c>
      <c r="N258" s="26" t="s">
        <v>748</v>
      </c>
      <c r="O258" s="26" t="s">
        <v>290</v>
      </c>
      <c r="P258" s="31">
        <v>30</v>
      </c>
      <c r="Q258" s="31"/>
      <c r="R258" s="26" t="s">
        <v>547</v>
      </c>
      <c r="S258" s="26" t="s">
        <v>548</v>
      </c>
      <c r="T258" s="31"/>
      <c r="U258" s="26"/>
      <c r="V258" s="26">
        <f t="shared" ref="V258:V321" si="24">COUNTA(B258)</f>
        <v>1</v>
      </c>
      <c r="W258" s="26">
        <f t="shared" si="22"/>
        <v>1</v>
      </c>
      <c r="X258" s="26">
        <f>Data_Base[[#This Row],[B.N Total]]-Data_Base[[#This Row],[Nbre Brachements exécuté]]</f>
        <v>0</v>
      </c>
      <c r="Y258" s="26" t="str">
        <f t="shared" ref="Y258:Y321" si="25">IF(A258=""," ",TEXT(A258,"jjjj"))</f>
        <v>jeudi</v>
      </c>
      <c r="Z258" s="26" t="str">
        <f t="shared" ref="Z258:Z321" si="26">IF(A258="","",TEXT(A258,"jj"))</f>
        <v>25</v>
      </c>
      <c r="AA258" s="26" t="str">
        <f t="shared" si="23"/>
        <v>04</v>
      </c>
      <c r="AB258" s="26" t="str">
        <f t="shared" ref="AB258:AB321" si="27">IF(A258=""," ",TEXT(A258,"aaaa"))</f>
        <v>2024</v>
      </c>
    </row>
    <row r="259" spans="1:28" x14ac:dyDescent="0.25">
      <c r="A259" s="30">
        <v>45407</v>
      </c>
      <c r="B259" s="26" t="s">
        <v>749</v>
      </c>
      <c r="C259" s="26" t="s">
        <v>66</v>
      </c>
      <c r="D259" s="26" t="s">
        <v>750</v>
      </c>
      <c r="E259" s="26"/>
      <c r="G259" s="26"/>
      <c r="H259" s="26"/>
      <c r="I259" s="26"/>
      <c r="J259" s="30"/>
      <c r="K259" s="26"/>
      <c r="M259" s="30"/>
      <c r="O259" s="26"/>
      <c r="P259" s="31"/>
      <c r="Q259" s="31"/>
      <c r="R259" s="26"/>
      <c r="S259" s="26"/>
      <c r="T259" s="31"/>
      <c r="U259" s="26"/>
      <c r="V259" s="26">
        <f t="shared" si="24"/>
        <v>1</v>
      </c>
      <c r="W259" s="26">
        <f t="shared" ref="W259:W322" si="28">COUNTA(N259)</f>
        <v>0</v>
      </c>
      <c r="X259" s="26">
        <f>Data_Base[[#This Row],[B.N Total]]-Data_Base[[#This Row],[Nbre Brachements exécuté]]</f>
        <v>1</v>
      </c>
      <c r="Y259" s="26" t="str">
        <f t="shared" si="25"/>
        <v>jeudi</v>
      </c>
      <c r="Z259" s="26" t="str">
        <f t="shared" si="26"/>
        <v>25</v>
      </c>
      <c r="AA259" s="26" t="str">
        <f t="shared" ref="AA259:AA322" si="29">IF(A259=""," ",TEXT(A259,"mm"))</f>
        <v>04</v>
      </c>
      <c r="AB259" s="26" t="str">
        <f t="shared" si="27"/>
        <v>2024</v>
      </c>
    </row>
    <row r="260" spans="1:28" x14ac:dyDescent="0.25">
      <c r="A260" s="30">
        <v>45407</v>
      </c>
      <c r="B260" s="26" t="s">
        <v>751</v>
      </c>
      <c r="C260" s="26" t="s">
        <v>66</v>
      </c>
      <c r="D260" s="26" t="s">
        <v>752</v>
      </c>
      <c r="E260" s="26"/>
      <c r="G260" s="26"/>
      <c r="H260" s="26"/>
      <c r="I260" s="26"/>
      <c r="J260" s="30"/>
      <c r="K260" s="26"/>
      <c r="M260" s="30"/>
      <c r="O260" s="26"/>
      <c r="P260" s="31"/>
      <c r="Q260" s="31"/>
      <c r="R260" s="26"/>
      <c r="S260" s="26"/>
      <c r="T260" s="31"/>
      <c r="U260" s="26"/>
      <c r="V260" s="26">
        <f t="shared" si="24"/>
        <v>1</v>
      </c>
      <c r="W260" s="26">
        <f t="shared" si="28"/>
        <v>0</v>
      </c>
      <c r="X260" s="26">
        <f>Data_Base[[#This Row],[B.N Total]]-Data_Base[[#This Row],[Nbre Brachements exécuté]]</f>
        <v>1</v>
      </c>
      <c r="Y260" s="26" t="str">
        <f t="shared" si="25"/>
        <v>jeudi</v>
      </c>
      <c r="Z260" s="26" t="str">
        <f t="shared" si="26"/>
        <v>25</v>
      </c>
      <c r="AA260" s="26" t="str">
        <f t="shared" si="29"/>
        <v>04</v>
      </c>
      <c r="AB260" s="26" t="str">
        <f t="shared" si="27"/>
        <v>2024</v>
      </c>
    </row>
    <row r="261" spans="1:28" x14ac:dyDescent="0.25">
      <c r="A261" s="30">
        <v>45407</v>
      </c>
      <c r="B261" s="26" t="s">
        <v>753</v>
      </c>
      <c r="C261" s="26" t="s">
        <v>66</v>
      </c>
      <c r="D261" s="26" t="s">
        <v>754</v>
      </c>
      <c r="E261" s="26"/>
      <c r="G261" s="26"/>
      <c r="H261" s="26"/>
      <c r="I261" s="26"/>
      <c r="J261" s="30"/>
      <c r="K261" s="26"/>
      <c r="M261" s="30"/>
      <c r="O261" s="26"/>
      <c r="P261" s="31"/>
      <c r="Q261" s="31"/>
      <c r="R261" s="26"/>
      <c r="S261" s="26"/>
      <c r="T261" s="31"/>
      <c r="U261" s="26"/>
      <c r="V261" s="26">
        <f t="shared" si="24"/>
        <v>1</v>
      </c>
      <c r="W261" s="26">
        <f t="shared" si="28"/>
        <v>0</v>
      </c>
      <c r="X261" s="26">
        <f>Data_Base[[#This Row],[B.N Total]]-Data_Base[[#This Row],[Nbre Brachements exécuté]]</f>
        <v>1</v>
      </c>
      <c r="Y261" s="26" t="str">
        <f t="shared" si="25"/>
        <v>jeudi</v>
      </c>
      <c r="Z261" s="26" t="str">
        <f t="shared" si="26"/>
        <v>25</v>
      </c>
      <c r="AA261" s="26" t="str">
        <f t="shared" si="29"/>
        <v>04</v>
      </c>
      <c r="AB261" s="26" t="str">
        <f t="shared" si="27"/>
        <v>2024</v>
      </c>
    </row>
    <row r="262" spans="1:28" x14ac:dyDescent="0.25">
      <c r="A262" s="30">
        <v>45407</v>
      </c>
      <c r="B262" s="26" t="s">
        <v>755</v>
      </c>
      <c r="C262" s="26" t="s">
        <v>66</v>
      </c>
      <c r="D262" s="26" t="s">
        <v>756</v>
      </c>
      <c r="E262" s="26" t="s">
        <v>142</v>
      </c>
      <c r="F262" s="28" t="s">
        <v>757</v>
      </c>
      <c r="G262" s="26" t="s">
        <v>160</v>
      </c>
      <c r="H262" s="26" t="s">
        <v>567</v>
      </c>
      <c r="I262" s="26" t="s">
        <v>160</v>
      </c>
      <c r="J262" s="30">
        <v>45412</v>
      </c>
      <c r="K262" s="26" t="s">
        <v>546</v>
      </c>
      <c r="L262" s="26" t="s">
        <v>758</v>
      </c>
      <c r="M262" s="30">
        <v>45412</v>
      </c>
      <c r="N262" s="26" t="s">
        <v>758</v>
      </c>
      <c r="O262" s="26" t="s">
        <v>141</v>
      </c>
      <c r="P262" s="31">
        <v>20</v>
      </c>
      <c r="Q262" s="31">
        <v>0</v>
      </c>
      <c r="R262" s="26" t="s">
        <v>547</v>
      </c>
      <c r="S262" s="26"/>
      <c r="T262" s="31"/>
      <c r="U262" s="26"/>
      <c r="V262" s="26">
        <f t="shared" si="24"/>
        <v>1</v>
      </c>
      <c r="W262" s="26">
        <f t="shared" si="28"/>
        <v>1</v>
      </c>
      <c r="X262" s="26">
        <f>Data_Base[[#This Row],[B.N Total]]-Data_Base[[#This Row],[Nbre Brachements exécuté]]</f>
        <v>0</v>
      </c>
      <c r="Y262" s="26" t="str">
        <f t="shared" si="25"/>
        <v>jeudi</v>
      </c>
      <c r="Z262" s="26" t="str">
        <f t="shared" si="26"/>
        <v>25</v>
      </c>
      <c r="AA262" s="26" t="str">
        <f t="shared" si="29"/>
        <v>04</v>
      </c>
      <c r="AB262" s="26" t="str">
        <f t="shared" si="27"/>
        <v>2024</v>
      </c>
    </row>
    <row r="263" spans="1:28" x14ac:dyDescent="0.25">
      <c r="A263" s="30">
        <v>45408</v>
      </c>
      <c r="B263" s="26" t="s">
        <v>759</v>
      </c>
      <c r="C263" s="26" t="s">
        <v>3</v>
      </c>
      <c r="D263" s="26" t="s">
        <v>760</v>
      </c>
      <c r="E263" s="26"/>
      <c r="F263" s="28" t="s">
        <v>761</v>
      </c>
      <c r="G263" s="26" t="s">
        <v>160</v>
      </c>
      <c r="H263" s="26" t="s">
        <v>161</v>
      </c>
      <c r="I263" s="26" t="s">
        <v>586</v>
      </c>
      <c r="J263" s="30">
        <v>45420</v>
      </c>
      <c r="K263" s="26" t="s">
        <v>546</v>
      </c>
      <c r="L263" s="26" t="s">
        <v>1148</v>
      </c>
      <c r="M263" s="30">
        <v>45420</v>
      </c>
      <c r="N263" s="26" t="s">
        <v>1148</v>
      </c>
      <c r="O263" s="26" t="s">
        <v>582</v>
      </c>
      <c r="P263" s="31">
        <v>20</v>
      </c>
      <c r="Q263" s="31">
        <v>10</v>
      </c>
      <c r="R263" s="26" t="s">
        <v>547</v>
      </c>
      <c r="S263" s="26"/>
      <c r="T263" s="31"/>
      <c r="U263" s="26"/>
      <c r="V263" s="26">
        <f t="shared" si="24"/>
        <v>1</v>
      </c>
      <c r="W263" s="26">
        <f t="shared" si="28"/>
        <v>1</v>
      </c>
      <c r="X263" s="26">
        <f>Data_Base[[#This Row],[B.N Total]]-Data_Base[[#This Row],[Nbre Brachements exécuté]]</f>
        <v>0</v>
      </c>
      <c r="Y263" s="26" t="str">
        <f t="shared" si="25"/>
        <v>vendredi</v>
      </c>
      <c r="Z263" s="26" t="str">
        <f t="shared" si="26"/>
        <v>26</v>
      </c>
      <c r="AA263" s="26" t="str">
        <f t="shared" si="29"/>
        <v>04</v>
      </c>
      <c r="AB263" s="26" t="str">
        <f t="shared" si="27"/>
        <v>2024</v>
      </c>
    </row>
    <row r="264" spans="1:28" x14ac:dyDescent="0.25">
      <c r="A264" s="30">
        <v>45408</v>
      </c>
      <c r="B264" s="26" t="s">
        <v>759</v>
      </c>
      <c r="C264" s="26" t="s">
        <v>3</v>
      </c>
      <c r="D264" s="26" t="s">
        <v>762</v>
      </c>
      <c r="E264" s="26"/>
      <c r="F264" s="28" t="s">
        <v>761</v>
      </c>
      <c r="G264" s="26" t="s">
        <v>160</v>
      </c>
      <c r="H264" s="26" t="s">
        <v>161</v>
      </c>
      <c r="I264" s="26" t="s">
        <v>586</v>
      </c>
      <c r="J264" s="30">
        <v>45420</v>
      </c>
      <c r="K264" s="26" t="s">
        <v>546</v>
      </c>
      <c r="L264" s="26" t="s">
        <v>1149</v>
      </c>
      <c r="M264" s="30">
        <v>45420</v>
      </c>
      <c r="N264" s="26" t="s">
        <v>1149</v>
      </c>
      <c r="O264" s="26" t="s">
        <v>582</v>
      </c>
      <c r="P264" s="31">
        <v>20</v>
      </c>
      <c r="Q264" s="31">
        <v>10</v>
      </c>
      <c r="R264" s="26" t="s">
        <v>547</v>
      </c>
      <c r="S264" s="26"/>
      <c r="T264" s="31"/>
      <c r="U264" s="26"/>
      <c r="V264" s="26">
        <f t="shared" si="24"/>
        <v>1</v>
      </c>
      <c r="W264" s="26">
        <f t="shared" si="28"/>
        <v>1</v>
      </c>
      <c r="X264" s="26">
        <f>Data_Base[[#This Row],[B.N Total]]-Data_Base[[#This Row],[Nbre Brachements exécuté]]</f>
        <v>0</v>
      </c>
      <c r="Y264" s="26" t="str">
        <f t="shared" si="25"/>
        <v>vendredi</v>
      </c>
      <c r="Z264" s="26" t="str">
        <f t="shared" si="26"/>
        <v>26</v>
      </c>
      <c r="AA264" s="26" t="str">
        <f t="shared" si="29"/>
        <v>04</v>
      </c>
      <c r="AB264" s="26" t="str">
        <f t="shared" si="27"/>
        <v>2024</v>
      </c>
    </row>
    <row r="265" spans="1:28" x14ac:dyDescent="0.25">
      <c r="A265" s="30">
        <v>45408</v>
      </c>
      <c r="B265" s="26" t="s">
        <v>763</v>
      </c>
      <c r="C265" s="26" t="s">
        <v>3</v>
      </c>
      <c r="D265" s="26" t="s">
        <v>764</v>
      </c>
      <c r="E265" s="26" t="s">
        <v>765</v>
      </c>
      <c r="F265" s="28" t="s">
        <v>766</v>
      </c>
      <c r="G265" s="26" t="s">
        <v>160</v>
      </c>
      <c r="H265" s="26" t="s">
        <v>325</v>
      </c>
      <c r="I265" s="26" t="s">
        <v>160</v>
      </c>
      <c r="J265" s="30">
        <v>45414</v>
      </c>
      <c r="K265" s="26" t="s">
        <v>546</v>
      </c>
      <c r="L265" s="26" t="s">
        <v>767</v>
      </c>
      <c r="M265" s="30">
        <v>45414</v>
      </c>
      <c r="N265" s="26" t="s">
        <v>767</v>
      </c>
      <c r="O265" s="26" t="s">
        <v>559</v>
      </c>
      <c r="P265" s="31">
        <v>30</v>
      </c>
      <c r="Q265" s="31">
        <v>10</v>
      </c>
      <c r="R265" s="26" t="s">
        <v>547</v>
      </c>
      <c r="S265" s="26"/>
      <c r="T265" s="31"/>
      <c r="U265" s="26"/>
      <c r="V265" s="26">
        <f t="shared" si="24"/>
        <v>1</v>
      </c>
      <c r="W265" s="26">
        <f t="shared" si="28"/>
        <v>1</v>
      </c>
      <c r="X265" s="26">
        <f>Data_Base[[#This Row],[B.N Total]]-Data_Base[[#This Row],[Nbre Brachements exécuté]]</f>
        <v>0</v>
      </c>
      <c r="Y265" s="26" t="str">
        <f t="shared" si="25"/>
        <v>vendredi</v>
      </c>
      <c r="Z265" s="26" t="str">
        <f t="shared" si="26"/>
        <v>26</v>
      </c>
      <c r="AA265" s="26" t="str">
        <f t="shared" si="29"/>
        <v>04</v>
      </c>
      <c r="AB265" s="26" t="str">
        <f t="shared" si="27"/>
        <v>2024</v>
      </c>
    </row>
    <row r="266" spans="1:28" x14ac:dyDescent="0.25">
      <c r="A266" s="30">
        <v>45408</v>
      </c>
      <c r="B266" s="26" t="s">
        <v>768</v>
      </c>
      <c r="C266" s="26" t="s">
        <v>3</v>
      </c>
      <c r="D266" s="26" t="s">
        <v>769</v>
      </c>
      <c r="E266" s="26"/>
      <c r="G266" s="26"/>
      <c r="H266" s="26"/>
      <c r="I266" s="26"/>
      <c r="J266" s="30"/>
      <c r="K266" s="26"/>
      <c r="M266" s="30"/>
      <c r="O266" s="26"/>
      <c r="P266" s="31"/>
      <c r="Q266" s="31"/>
      <c r="R266" s="26"/>
      <c r="S266" s="26"/>
      <c r="T266" s="31"/>
      <c r="U266" s="26"/>
      <c r="V266" s="26">
        <f t="shared" si="24"/>
        <v>1</v>
      </c>
      <c r="W266" s="26">
        <f t="shared" si="28"/>
        <v>0</v>
      </c>
      <c r="X266" s="26">
        <f>Data_Base[[#This Row],[B.N Total]]-Data_Base[[#This Row],[Nbre Brachements exécuté]]</f>
        <v>1</v>
      </c>
      <c r="Y266" s="26" t="str">
        <f t="shared" si="25"/>
        <v>vendredi</v>
      </c>
      <c r="Z266" s="26" t="str">
        <f t="shared" si="26"/>
        <v>26</v>
      </c>
      <c r="AA266" s="26" t="str">
        <f t="shared" si="29"/>
        <v>04</v>
      </c>
      <c r="AB266" s="26" t="str">
        <f t="shared" si="27"/>
        <v>2024</v>
      </c>
    </row>
    <row r="267" spans="1:28" x14ac:dyDescent="0.25">
      <c r="A267" s="30">
        <v>45408</v>
      </c>
      <c r="B267" s="26" t="s">
        <v>770</v>
      </c>
      <c r="C267" s="26" t="s">
        <v>66</v>
      </c>
      <c r="D267" s="26" t="s">
        <v>771</v>
      </c>
      <c r="E267" s="26" t="s">
        <v>142</v>
      </c>
      <c r="F267" s="28">
        <v>693666665</v>
      </c>
      <c r="G267" s="26" t="s">
        <v>160</v>
      </c>
      <c r="H267" s="26" t="s">
        <v>567</v>
      </c>
      <c r="I267" s="26" t="s">
        <v>573</v>
      </c>
      <c r="J267" s="30">
        <v>45419</v>
      </c>
      <c r="K267" s="26" t="s">
        <v>546</v>
      </c>
      <c r="L267" s="26" t="s">
        <v>1150</v>
      </c>
      <c r="M267" s="30">
        <v>45422</v>
      </c>
      <c r="N267" s="26" t="s">
        <v>1150</v>
      </c>
      <c r="O267" s="26" t="s">
        <v>582</v>
      </c>
      <c r="P267" s="31">
        <v>15</v>
      </c>
      <c r="Q267" s="31">
        <v>10</v>
      </c>
      <c r="R267" s="26" t="s">
        <v>547</v>
      </c>
      <c r="S267" s="26"/>
      <c r="T267" s="31"/>
      <c r="U267" s="26"/>
      <c r="V267" s="26">
        <f t="shared" si="24"/>
        <v>1</v>
      </c>
      <c r="W267" s="26">
        <f t="shared" si="28"/>
        <v>1</v>
      </c>
      <c r="X267" s="26">
        <f>Data_Base[[#This Row],[B.N Total]]-Data_Base[[#This Row],[Nbre Brachements exécuté]]</f>
        <v>0</v>
      </c>
      <c r="Y267" s="26" t="str">
        <f t="shared" si="25"/>
        <v>vendredi</v>
      </c>
      <c r="Z267" s="26" t="str">
        <f t="shared" si="26"/>
        <v>26</v>
      </c>
      <c r="AA267" s="26" t="str">
        <f t="shared" si="29"/>
        <v>04</v>
      </c>
      <c r="AB267" s="26" t="str">
        <f t="shared" si="27"/>
        <v>2024</v>
      </c>
    </row>
    <row r="268" spans="1:28" x14ac:dyDescent="0.25">
      <c r="A268" s="30">
        <v>45408</v>
      </c>
      <c r="B268" s="26" t="s">
        <v>772</v>
      </c>
      <c r="C268" s="26" t="s">
        <v>2</v>
      </c>
      <c r="D268" s="26" t="s">
        <v>773</v>
      </c>
      <c r="E268" s="26"/>
      <c r="G268" s="26"/>
      <c r="H268" s="26"/>
      <c r="I268" s="26"/>
      <c r="J268" s="30"/>
      <c r="K268" s="26"/>
      <c r="M268" s="30"/>
      <c r="O268" s="26"/>
      <c r="P268" s="31"/>
      <c r="Q268" s="31"/>
      <c r="R268" s="26"/>
      <c r="S268" s="26"/>
      <c r="T268" s="31"/>
      <c r="U268" s="26"/>
      <c r="V268" s="26">
        <f t="shared" si="24"/>
        <v>1</v>
      </c>
      <c r="W268" s="26">
        <f t="shared" si="28"/>
        <v>0</v>
      </c>
      <c r="X268" s="26">
        <f>Data_Base[[#This Row],[B.N Total]]-Data_Base[[#This Row],[Nbre Brachements exécuté]]</f>
        <v>1</v>
      </c>
      <c r="Y268" s="26" t="str">
        <f t="shared" si="25"/>
        <v>vendredi</v>
      </c>
      <c r="Z268" s="26" t="str">
        <f t="shared" si="26"/>
        <v>26</v>
      </c>
      <c r="AA268" s="26" t="str">
        <f t="shared" si="29"/>
        <v>04</v>
      </c>
      <c r="AB268" s="26" t="str">
        <f t="shared" si="27"/>
        <v>2024</v>
      </c>
    </row>
    <row r="269" spans="1:28" x14ac:dyDescent="0.25">
      <c r="A269" s="30">
        <v>45408</v>
      </c>
      <c r="B269" s="26" t="s">
        <v>774</v>
      </c>
      <c r="C269" s="26" t="s">
        <v>2</v>
      </c>
      <c r="D269" s="26" t="s">
        <v>775</v>
      </c>
      <c r="E269" s="26"/>
      <c r="G269" s="26"/>
      <c r="H269" s="26"/>
      <c r="I269" s="26"/>
      <c r="J269" s="30"/>
      <c r="K269" s="26"/>
      <c r="M269" s="30"/>
      <c r="O269" s="26"/>
      <c r="P269" s="31"/>
      <c r="Q269" s="31"/>
      <c r="R269" s="26"/>
      <c r="S269" s="26"/>
      <c r="T269" s="31"/>
      <c r="U269" s="26"/>
      <c r="V269" s="26">
        <f t="shared" si="24"/>
        <v>1</v>
      </c>
      <c r="W269" s="26">
        <f t="shared" si="28"/>
        <v>0</v>
      </c>
      <c r="X269" s="26">
        <f>Data_Base[[#This Row],[B.N Total]]-Data_Base[[#This Row],[Nbre Brachements exécuté]]</f>
        <v>1</v>
      </c>
      <c r="Y269" s="26" t="str">
        <f t="shared" si="25"/>
        <v>vendredi</v>
      </c>
      <c r="Z269" s="26" t="str">
        <f t="shared" si="26"/>
        <v>26</v>
      </c>
      <c r="AA269" s="26" t="str">
        <f t="shared" si="29"/>
        <v>04</v>
      </c>
      <c r="AB269" s="26" t="str">
        <f t="shared" si="27"/>
        <v>2024</v>
      </c>
    </row>
    <row r="270" spans="1:28" x14ac:dyDescent="0.25">
      <c r="A270" s="30">
        <v>45408</v>
      </c>
      <c r="B270" s="26" t="s">
        <v>776</v>
      </c>
      <c r="C270" s="26" t="s">
        <v>2</v>
      </c>
      <c r="D270" s="26" t="s">
        <v>777</v>
      </c>
      <c r="E270" s="26" t="s">
        <v>142</v>
      </c>
      <c r="F270" s="28">
        <v>691281212</v>
      </c>
      <c r="G270" s="26" t="s">
        <v>160</v>
      </c>
      <c r="H270" s="26" t="s">
        <v>325</v>
      </c>
      <c r="I270" s="26" t="s">
        <v>160</v>
      </c>
      <c r="J270" s="30">
        <v>45408</v>
      </c>
      <c r="K270" s="26" t="s">
        <v>546</v>
      </c>
      <c r="L270" s="26" t="s">
        <v>778</v>
      </c>
      <c r="M270" s="30">
        <v>45408</v>
      </c>
      <c r="N270" s="26" t="s">
        <v>778</v>
      </c>
      <c r="O270" s="26" t="s">
        <v>559</v>
      </c>
      <c r="P270" s="31">
        <v>30</v>
      </c>
      <c r="Q270" s="31"/>
      <c r="R270" s="26" t="s">
        <v>547</v>
      </c>
      <c r="S270" s="26" t="s">
        <v>548</v>
      </c>
      <c r="T270" s="31"/>
      <c r="U270" s="26"/>
      <c r="V270" s="26">
        <f t="shared" si="24"/>
        <v>1</v>
      </c>
      <c r="W270" s="26">
        <f t="shared" si="28"/>
        <v>1</v>
      </c>
      <c r="X270" s="26">
        <f>Data_Base[[#This Row],[B.N Total]]-Data_Base[[#This Row],[Nbre Brachements exécuté]]</f>
        <v>0</v>
      </c>
      <c r="Y270" s="26" t="str">
        <f t="shared" si="25"/>
        <v>vendredi</v>
      </c>
      <c r="Z270" s="26" t="str">
        <f t="shared" si="26"/>
        <v>26</v>
      </c>
      <c r="AA270" s="26" t="str">
        <f t="shared" si="29"/>
        <v>04</v>
      </c>
      <c r="AB270" s="26" t="str">
        <f t="shared" si="27"/>
        <v>2024</v>
      </c>
    </row>
    <row r="271" spans="1:28" x14ac:dyDescent="0.25">
      <c r="A271" s="30">
        <v>45408</v>
      </c>
      <c r="B271" s="26" t="s">
        <v>779</v>
      </c>
      <c r="C271" s="26" t="s">
        <v>2</v>
      </c>
      <c r="D271" s="26" t="s">
        <v>780</v>
      </c>
      <c r="E271" s="26" t="s">
        <v>142</v>
      </c>
      <c r="F271" s="28">
        <v>654353565</v>
      </c>
      <c r="G271" s="26" t="s">
        <v>160</v>
      </c>
      <c r="H271" s="26" t="s">
        <v>325</v>
      </c>
      <c r="I271" s="26" t="s">
        <v>160</v>
      </c>
      <c r="J271" s="30">
        <v>45412</v>
      </c>
      <c r="K271" s="26" t="s">
        <v>546</v>
      </c>
      <c r="L271" s="26" t="s">
        <v>781</v>
      </c>
      <c r="M271" s="30">
        <v>45412</v>
      </c>
      <c r="N271" s="26" t="s">
        <v>781</v>
      </c>
      <c r="O271" s="26" t="s">
        <v>290</v>
      </c>
      <c r="P271" s="31">
        <v>30</v>
      </c>
      <c r="Q271" s="31">
        <v>7244</v>
      </c>
      <c r="R271" s="26" t="s">
        <v>547</v>
      </c>
      <c r="S271" s="26"/>
      <c r="T271" s="31"/>
      <c r="U271" s="26"/>
      <c r="V271" s="26">
        <f t="shared" si="24"/>
        <v>1</v>
      </c>
      <c r="W271" s="26">
        <f t="shared" si="28"/>
        <v>1</v>
      </c>
      <c r="X271" s="26">
        <f>Data_Base[[#This Row],[B.N Total]]-Data_Base[[#This Row],[Nbre Brachements exécuté]]</f>
        <v>0</v>
      </c>
      <c r="Y271" s="26" t="str">
        <f t="shared" si="25"/>
        <v>vendredi</v>
      </c>
      <c r="Z271" s="26" t="str">
        <f t="shared" si="26"/>
        <v>26</v>
      </c>
      <c r="AA271" s="26" t="str">
        <f t="shared" si="29"/>
        <v>04</v>
      </c>
      <c r="AB271" s="26" t="str">
        <f t="shared" si="27"/>
        <v>2024</v>
      </c>
    </row>
    <row r="272" spans="1:28" x14ac:dyDescent="0.25">
      <c r="A272" s="30">
        <v>45408</v>
      </c>
      <c r="B272" s="26" t="s">
        <v>782</v>
      </c>
      <c r="C272" s="26" t="s">
        <v>2</v>
      </c>
      <c r="D272" s="26" t="s">
        <v>783</v>
      </c>
      <c r="E272" s="26"/>
      <c r="F272" s="28">
        <v>672858423</v>
      </c>
      <c r="G272" s="26" t="s">
        <v>160</v>
      </c>
      <c r="H272" s="26" t="s">
        <v>325</v>
      </c>
      <c r="I272" s="26" t="s">
        <v>579</v>
      </c>
      <c r="J272" s="30">
        <v>45425</v>
      </c>
      <c r="K272" s="26" t="s">
        <v>546</v>
      </c>
      <c r="M272" s="30"/>
      <c r="O272" s="26"/>
      <c r="P272" s="31"/>
      <c r="Q272" s="31"/>
      <c r="R272" s="26"/>
      <c r="S272" s="26"/>
      <c r="T272" s="31"/>
      <c r="U272" s="26"/>
      <c r="V272" s="26">
        <f t="shared" si="24"/>
        <v>1</v>
      </c>
      <c r="W272" s="26">
        <f t="shared" si="28"/>
        <v>0</v>
      </c>
      <c r="X272" s="26">
        <f>Data_Base[[#This Row],[B.N Total]]-Data_Base[[#This Row],[Nbre Brachements exécuté]]</f>
        <v>1</v>
      </c>
      <c r="Y272" s="26" t="str">
        <f t="shared" si="25"/>
        <v>vendredi</v>
      </c>
      <c r="Z272" s="26" t="str">
        <f t="shared" si="26"/>
        <v>26</v>
      </c>
      <c r="AA272" s="26" t="str">
        <f t="shared" si="29"/>
        <v>04</v>
      </c>
      <c r="AB272" s="26" t="str">
        <f t="shared" si="27"/>
        <v>2024</v>
      </c>
    </row>
    <row r="273" spans="1:28" x14ac:dyDescent="0.25">
      <c r="A273" s="30">
        <v>45408</v>
      </c>
      <c r="B273" s="26" t="s">
        <v>784</v>
      </c>
      <c r="C273" s="26" t="s">
        <v>2</v>
      </c>
      <c r="D273" s="26" t="s">
        <v>785</v>
      </c>
      <c r="E273" s="26"/>
      <c r="G273" s="26"/>
      <c r="H273" s="26"/>
      <c r="I273" s="26"/>
      <c r="J273" s="30"/>
      <c r="K273" s="26"/>
      <c r="M273" s="30"/>
      <c r="O273" s="26"/>
      <c r="P273" s="31"/>
      <c r="Q273" s="31"/>
      <c r="R273" s="26"/>
      <c r="S273" s="26"/>
      <c r="T273" s="31"/>
      <c r="U273" s="26"/>
      <c r="V273" s="26">
        <f t="shared" si="24"/>
        <v>1</v>
      </c>
      <c r="W273" s="26">
        <f t="shared" si="28"/>
        <v>0</v>
      </c>
      <c r="X273" s="26">
        <f>Data_Base[[#This Row],[B.N Total]]-Data_Base[[#This Row],[Nbre Brachements exécuté]]</f>
        <v>1</v>
      </c>
      <c r="Y273" s="26" t="str">
        <f t="shared" si="25"/>
        <v>vendredi</v>
      </c>
      <c r="Z273" s="26" t="str">
        <f t="shared" si="26"/>
        <v>26</v>
      </c>
      <c r="AA273" s="26" t="str">
        <f t="shared" si="29"/>
        <v>04</v>
      </c>
      <c r="AB273" s="26" t="str">
        <f t="shared" si="27"/>
        <v>2024</v>
      </c>
    </row>
    <row r="274" spans="1:28" x14ac:dyDescent="0.25">
      <c r="A274" s="30">
        <v>45408</v>
      </c>
      <c r="B274" s="26" t="s">
        <v>786</v>
      </c>
      <c r="C274" s="26" t="s">
        <v>2</v>
      </c>
      <c r="D274" s="26" t="s">
        <v>787</v>
      </c>
      <c r="E274" s="26"/>
      <c r="G274" s="26"/>
      <c r="H274" s="26"/>
      <c r="I274" s="26"/>
      <c r="J274" s="30"/>
      <c r="K274" s="26"/>
      <c r="M274" s="30"/>
      <c r="O274" s="26"/>
      <c r="P274" s="31"/>
      <c r="Q274" s="31"/>
      <c r="R274" s="26"/>
      <c r="S274" s="26"/>
      <c r="T274" s="31"/>
      <c r="U274" s="26"/>
      <c r="V274" s="26">
        <f t="shared" si="24"/>
        <v>1</v>
      </c>
      <c r="W274" s="26">
        <f t="shared" si="28"/>
        <v>0</v>
      </c>
      <c r="X274" s="26">
        <f>Data_Base[[#This Row],[B.N Total]]-Data_Base[[#This Row],[Nbre Brachements exécuté]]</f>
        <v>1</v>
      </c>
      <c r="Y274" s="26" t="str">
        <f t="shared" si="25"/>
        <v>vendredi</v>
      </c>
      <c r="Z274" s="26" t="str">
        <f t="shared" si="26"/>
        <v>26</v>
      </c>
      <c r="AA274" s="26" t="str">
        <f t="shared" si="29"/>
        <v>04</v>
      </c>
      <c r="AB274" s="26" t="str">
        <f t="shared" si="27"/>
        <v>2024</v>
      </c>
    </row>
    <row r="275" spans="1:28" x14ac:dyDescent="0.25">
      <c r="A275" s="30">
        <v>45408</v>
      </c>
      <c r="B275" s="26" t="s">
        <v>786</v>
      </c>
      <c r="C275" s="26" t="s">
        <v>2</v>
      </c>
      <c r="D275" s="26" t="s">
        <v>788</v>
      </c>
      <c r="E275" s="26"/>
      <c r="G275" s="26"/>
      <c r="H275" s="26"/>
      <c r="I275" s="26"/>
      <c r="J275" s="30"/>
      <c r="K275" s="26"/>
      <c r="M275" s="30"/>
      <c r="O275" s="26"/>
      <c r="P275" s="31"/>
      <c r="Q275" s="31"/>
      <c r="R275" s="26"/>
      <c r="S275" s="26"/>
      <c r="T275" s="31"/>
      <c r="U275" s="26"/>
      <c r="V275" s="26">
        <f t="shared" si="24"/>
        <v>1</v>
      </c>
      <c r="W275" s="26">
        <f t="shared" si="28"/>
        <v>0</v>
      </c>
      <c r="X275" s="26">
        <f>Data_Base[[#This Row],[B.N Total]]-Data_Base[[#This Row],[Nbre Brachements exécuté]]</f>
        <v>1</v>
      </c>
      <c r="Y275" s="26" t="str">
        <f t="shared" si="25"/>
        <v>vendredi</v>
      </c>
      <c r="Z275" s="26" t="str">
        <f t="shared" si="26"/>
        <v>26</v>
      </c>
      <c r="AA275" s="26" t="str">
        <f t="shared" si="29"/>
        <v>04</v>
      </c>
      <c r="AB275" s="26" t="str">
        <f t="shared" si="27"/>
        <v>2024</v>
      </c>
    </row>
    <row r="276" spans="1:28" x14ac:dyDescent="0.25">
      <c r="A276" s="30">
        <v>45408</v>
      </c>
      <c r="B276" s="26" t="s">
        <v>786</v>
      </c>
      <c r="C276" s="26" t="s">
        <v>2</v>
      </c>
      <c r="D276" s="26" t="s">
        <v>789</v>
      </c>
      <c r="E276" s="26"/>
      <c r="G276" s="26"/>
      <c r="H276" s="26"/>
      <c r="I276" s="26"/>
      <c r="J276" s="30"/>
      <c r="K276" s="26"/>
      <c r="M276" s="30"/>
      <c r="O276" s="26"/>
      <c r="P276" s="31"/>
      <c r="Q276" s="31"/>
      <c r="R276" s="26"/>
      <c r="S276" s="26"/>
      <c r="T276" s="31"/>
      <c r="U276" s="26"/>
      <c r="V276" s="26">
        <f t="shared" si="24"/>
        <v>1</v>
      </c>
      <c r="W276" s="26">
        <f t="shared" si="28"/>
        <v>0</v>
      </c>
      <c r="X276" s="26">
        <f>Data_Base[[#This Row],[B.N Total]]-Data_Base[[#This Row],[Nbre Brachements exécuté]]</f>
        <v>1</v>
      </c>
      <c r="Y276" s="26" t="str">
        <f t="shared" si="25"/>
        <v>vendredi</v>
      </c>
      <c r="Z276" s="26" t="str">
        <f t="shared" si="26"/>
        <v>26</v>
      </c>
      <c r="AA276" s="26" t="str">
        <f t="shared" si="29"/>
        <v>04</v>
      </c>
      <c r="AB276" s="26" t="str">
        <f t="shared" si="27"/>
        <v>2024</v>
      </c>
    </row>
    <row r="277" spans="1:28" x14ac:dyDescent="0.25">
      <c r="A277" s="30">
        <v>45408</v>
      </c>
      <c r="B277" s="26" t="s">
        <v>786</v>
      </c>
      <c r="C277" s="26" t="s">
        <v>2</v>
      </c>
      <c r="D277" s="26" t="s">
        <v>790</v>
      </c>
      <c r="E277" s="26"/>
      <c r="G277" s="26"/>
      <c r="H277" s="26"/>
      <c r="I277" s="26"/>
      <c r="J277" s="30"/>
      <c r="K277" s="26"/>
      <c r="M277" s="30"/>
      <c r="O277" s="26"/>
      <c r="P277" s="31"/>
      <c r="Q277" s="31"/>
      <c r="R277" s="26"/>
      <c r="S277" s="26"/>
      <c r="T277" s="31"/>
      <c r="U277" s="26"/>
      <c r="V277" s="26">
        <f t="shared" si="24"/>
        <v>1</v>
      </c>
      <c r="W277" s="26">
        <f t="shared" si="28"/>
        <v>0</v>
      </c>
      <c r="X277" s="26">
        <f>Data_Base[[#This Row],[B.N Total]]-Data_Base[[#This Row],[Nbre Brachements exécuté]]</f>
        <v>1</v>
      </c>
      <c r="Y277" s="26" t="str">
        <f t="shared" si="25"/>
        <v>vendredi</v>
      </c>
      <c r="Z277" s="26" t="str">
        <f t="shared" si="26"/>
        <v>26</v>
      </c>
      <c r="AA277" s="26" t="str">
        <f t="shared" si="29"/>
        <v>04</v>
      </c>
      <c r="AB277" s="26" t="str">
        <f t="shared" si="27"/>
        <v>2024</v>
      </c>
    </row>
    <row r="278" spans="1:28" x14ac:dyDescent="0.25">
      <c r="A278" s="30">
        <v>45408</v>
      </c>
      <c r="B278" s="26" t="s">
        <v>786</v>
      </c>
      <c r="C278" s="26" t="s">
        <v>2</v>
      </c>
      <c r="D278" s="26" t="s">
        <v>791</v>
      </c>
      <c r="E278" s="26"/>
      <c r="G278" s="26"/>
      <c r="H278" s="26"/>
      <c r="I278" s="26"/>
      <c r="J278" s="30"/>
      <c r="K278" s="26"/>
      <c r="M278" s="30"/>
      <c r="O278" s="26"/>
      <c r="P278" s="31"/>
      <c r="Q278" s="31"/>
      <c r="R278" s="26"/>
      <c r="S278" s="26"/>
      <c r="T278" s="31"/>
      <c r="U278" s="26"/>
      <c r="V278" s="26">
        <f t="shared" si="24"/>
        <v>1</v>
      </c>
      <c r="W278" s="26">
        <f t="shared" si="28"/>
        <v>0</v>
      </c>
      <c r="X278" s="26">
        <f>Data_Base[[#This Row],[B.N Total]]-Data_Base[[#This Row],[Nbre Brachements exécuté]]</f>
        <v>1</v>
      </c>
      <c r="Y278" s="26" t="str">
        <f t="shared" si="25"/>
        <v>vendredi</v>
      </c>
      <c r="Z278" s="26" t="str">
        <f t="shared" si="26"/>
        <v>26</v>
      </c>
      <c r="AA278" s="26" t="str">
        <f t="shared" si="29"/>
        <v>04</v>
      </c>
      <c r="AB278" s="26" t="str">
        <f t="shared" si="27"/>
        <v>2024</v>
      </c>
    </row>
    <row r="279" spans="1:28" x14ac:dyDescent="0.25">
      <c r="A279" s="30">
        <v>45408</v>
      </c>
      <c r="B279" s="26" t="s">
        <v>786</v>
      </c>
      <c r="C279" s="26" t="s">
        <v>2</v>
      </c>
      <c r="D279" s="26" t="s">
        <v>792</v>
      </c>
      <c r="E279" s="26"/>
      <c r="G279" s="26"/>
      <c r="H279" s="26"/>
      <c r="I279" s="26"/>
      <c r="J279" s="30"/>
      <c r="K279" s="26"/>
      <c r="M279" s="30"/>
      <c r="O279" s="26"/>
      <c r="P279" s="31"/>
      <c r="Q279" s="31"/>
      <c r="R279" s="26"/>
      <c r="S279" s="26"/>
      <c r="T279" s="31"/>
      <c r="U279" s="26"/>
      <c r="V279" s="26">
        <f t="shared" si="24"/>
        <v>1</v>
      </c>
      <c r="W279" s="26">
        <f t="shared" si="28"/>
        <v>0</v>
      </c>
      <c r="X279" s="26">
        <f>Data_Base[[#This Row],[B.N Total]]-Data_Base[[#This Row],[Nbre Brachements exécuté]]</f>
        <v>1</v>
      </c>
      <c r="Y279" s="26" t="str">
        <f t="shared" si="25"/>
        <v>vendredi</v>
      </c>
      <c r="Z279" s="26" t="str">
        <f t="shared" si="26"/>
        <v>26</v>
      </c>
      <c r="AA279" s="26" t="str">
        <f t="shared" si="29"/>
        <v>04</v>
      </c>
      <c r="AB279" s="26" t="str">
        <f t="shared" si="27"/>
        <v>2024</v>
      </c>
    </row>
    <row r="280" spans="1:28" x14ac:dyDescent="0.25">
      <c r="A280" s="30">
        <v>45408</v>
      </c>
      <c r="B280" s="26" t="s">
        <v>786</v>
      </c>
      <c r="C280" s="26" t="s">
        <v>2</v>
      </c>
      <c r="D280" s="26" t="s">
        <v>793</v>
      </c>
      <c r="E280" s="26"/>
      <c r="G280" s="26"/>
      <c r="H280" s="26"/>
      <c r="I280" s="26"/>
      <c r="J280" s="30"/>
      <c r="K280" s="26"/>
      <c r="M280" s="30"/>
      <c r="O280" s="26"/>
      <c r="P280" s="31"/>
      <c r="Q280" s="31"/>
      <c r="R280" s="26"/>
      <c r="S280" s="26"/>
      <c r="T280" s="31"/>
      <c r="U280" s="26"/>
      <c r="V280" s="26">
        <f t="shared" si="24"/>
        <v>1</v>
      </c>
      <c r="W280" s="26">
        <f t="shared" si="28"/>
        <v>0</v>
      </c>
      <c r="X280" s="26">
        <f>Data_Base[[#This Row],[B.N Total]]-Data_Base[[#This Row],[Nbre Brachements exécuté]]</f>
        <v>1</v>
      </c>
      <c r="Y280" s="26" t="str">
        <f t="shared" si="25"/>
        <v>vendredi</v>
      </c>
      <c r="Z280" s="26" t="str">
        <f t="shared" si="26"/>
        <v>26</v>
      </c>
      <c r="AA280" s="26" t="str">
        <f t="shared" si="29"/>
        <v>04</v>
      </c>
      <c r="AB280" s="26" t="str">
        <f t="shared" si="27"/>
        <v>2024</v>
      </c>
    </row>
    <row r="281" spans="1:28" x14ac:dyDescent="0.25">
      <c r="A281" s="30">
        <v>45408</v>
      </c>
      <c r="B281" s="26" t="s">
        <v>786</v>
      </c>
      <c r="C281" s="26" t="s">
        <v>2</v>
      </c>
      <c r="D281" s="26" t="s">
        <v>794</v>
      </c>
      <c r="E281" s="26"/>
      <c r="G281" s="26"/>
      <c r="H281" s="26"/>
      <c r="I281" s="26"/>
      <c r="J281" s="30"/>
      <c r="K281" s="26"/>
      <c r="M281" s="30"/>
      <c r="O281" s="26"/>
      <c r="P281" s="31"/>
      <c r="Q281" s="31"/>
      <c r="R281" s="26"/>
      <c r="S281" s="26"/>
      <c r="T281" s="31"/>
      <c r="U281" s="26"/>
      <c r="V281" s="26">
        <f t="shared" si="24"/>
        <v>1</v>
      </c>
      <c r="W281" s="26">
        <f t="shared" si="28"/>
        <v>0</v>
      </c>
      <c r="X281" s="26">
        <f>Data_Base[[#This Row],[B.N Total]]-Data_Base[[#This Row],[Nbre Brachements exécuté]]</f>
        <v>1</v>
      </c>
      <c r="Y281" s="26" t="str">
        <f t="shared" si="25"/>
        <v>vendredi</v>
      </c>
      <c r="Z281" s="26" t="str">
        <f t="shared" si="26"/>
        <v>26</v>
      </c>
      <c r="AA281" s="26" t="str">
        <f t="shared" si="29"/>
        <v>04</v>
      </c>
      <c r="AB281" s="26" t="str">
        <f t="shared" si="27"/>
        <v>2024</v>
      </c>
    </row>
    <row r="282" spans="1:28" x14ac:dyDescent="0.25">
      <c r="A282" s="30">
        <v>45408</v>
      </c>
      <c r="B282" s="26" t="s">
        <v>786</v>
      </c>
      <c r="C282" s="26" t="s">
        <v>2</v>
      </c>
      <c r="D282" s="26" t="s">
        <v>795</v>
      </c>
      <c r="E282" s="26"/>
      <c r="G282" s="26"/>
      <c r="H282" s="26"/>
      <c r="I282" s="26"/>
      <c r="J282" s="30"/>
      <c r="K282" s="26"/>
      <c r="M282" s="30"/>
      <c r="O282" s="26"/>
      <c r="P282" s="31"/>
      <c r="Q282" s="31"/>
      <c r="R282" s="26"/>
      <c r="S282" s="26"/>
      <c r="T282" s="31"/>
      <c r="U282" s="26"/>
      <c r="V282" s="26">
        <f t="shared" si="24"/>
        <v>1</v>
      </c>
      <c r="W282" s="26">
        <f t="shared" si="28"/>
        <v>0</v>
      </c>
      <c r="X282" s="26">
        <f>Data_Base[[#This Row],[B.N Total]]-Data_Base[[#This Row],[Nbre Brachements exécuté]]</f>
        <v>1</v>
      </c>
      <c r="Y282" s="26" t="str">
        <f t="shared" si="25"/>
        <v>vendredi</v>
      </c>
      <c r="Z282" s="26" t="str">
        <f t="shared" si="26"/>
        <v>26</v>
      </c>
      <c r="AA282" s="26" t="str">
        <f t="shared" si="29"/>
        <v>04</v>
      </c>
      <c r="AB282" s="26" t="str">
        <f t="shared" si="27"/>
        <v>2024</v>
      </c>
    </row>
    <row r="283" spans="1:28" x14ac:dyDescent="0.25">
      <c r="A283" s="30">
        <v>45408</v>
      </c>
      <c r="B283" s="26" t="s">
        <v>786</v>
      </c>
      <c r="C283" s="26" t="s">
        <v>2</v>
      </c>
      <c r="D283" s="26" t="s">
        <v>796</v>
      </c>
      <c r="E283" s="26"/>
      <c r="G283" s="26"/>
      <c r="H283" s="26"/>
      <c r="I283" s="26"/>
      <c r="J283" s="30"/>
      <c r="K283" s="26"/>
      <c r="M283" s="30"/>
      <c r="O283" s="26"/>
      <c r="P283" s="31"/>
      <c r="Q283" s="31"/>
      <c r="R283" s="26"/>
      <c r="S283" s="26"/>
      <c r="T283" s="31"/>
      <c r="U283" s="26"/>
      <c r="V283" s="26">
        <f t="shared" si="24"/>
        <v>1</v>
      </c>
      <c r="W283" s="26">
        <f t="shared" si="28"/>
        <v>0</v>
      </c>
      <c r="X283" s="26">
        <f>Data_Base[[#This Row],[B.N Total]]-Data_Base[[#This Row],[Nbre Brachements exécuté]]</f>
        <v>1</v>
      </c>
      <c r="Y283" s="26" t="str">
        <f t="shared" si="25"/>
        <v>vendredi</v>
      </c>
      <c r="Z283" s="26" t="str">
        <f t="shared" si="26"/>
        <v>26</v>
      </c>
      <c r="AA283" s="26" t="str">
        <f t="shared" si="29"/>
        <v>04</v>
      </c>
      <c r="AB283" s="26" t="str">
        <f t="shared" si="27"/>
        <v>2024</v>
      </c>
    </row>
    <row r="284" spans="1:28" x14ac:dyDescent="0.25">
      <c r="A284" s="30">
        <v>45408</v>
      </c>
      <c r="B284" s="26" t="s">
        <v>786</v>
      </c>
      <c r="C284" s="26" t="s">
        <v>2</v>
      </c>
      <c r="D284" s="26" t="s">
        <v>797</v>
      </c>
      <c r="E284" s="26"/>
      <c r="G284" s="26"/>
      <c r="H284" s="26"/>
      <c r="I284" s="26"/>
      <c r="J284" s="30"/>
      <c r="K284" s="26"/>
      <c r="M284" s="30"/>
      <c r="O284" s="26"/>
      <c r="P284" s="31"/>
      <c r="Q284" s="31"/>
      <c r="R284" s="26"/>
      <c r="S284" s="26"/>
      <c r="T284" s="31"/>
      <c r="U284" s="26"/>
      <c r="V284" s="26">
        <f t="shared" si="24"/>
        <v>1</v>
      </c>
      <c r="W284" s="26">
        <f t="shared" si="28"/>
        <v>0</v>
      </c>
      <c r="X284" s="26">
        <f>Data_Base[[#This Row],[B.N Total]]-Data_Base[[#This Row],[Nbre Brachements exécuté]]</f>
        <v>1</v>
      </c>
      <c r="Y284" s="26" t="str">
        <f t="shared" si="25"/>
        <v>vendredi</v>
      </c>
      <c r="Z284" s="26" t="str">
        <f t="shared" si="26"/>
        <v>26</v>
      </c>
      <c r="AA284" s="26" t="str">
        <f t="shared" si="29"/>
        <v>04</v>
      </c>
      <c r="AB284" s="26" t="str">
        <f t="shared" si="27"/>
        <v>2024</v>
      </c>
    </row>
    <row r="285" spans="1:28" x14ac:dyDescent="0.25">
      <c r="A285" s="30">
        <v>45408</v>
      </c>
      <c r="B285" s="26" t="s">
        <v>786</v>
      </c>
      <c r="C285" s="26" t="s">
        <v>2</v>
      </c>
      <c r="D285" s="26" t="s">
        <v>798</v>
      </c>
      <c r="E285" s="26"/>
      <c r="G285" s="26"/>
      <c r="H285" s="26"/>
      <c r="I285" s="26"/>
      <c r="J285" s="30"/>
      <c r="K285" s="26"/>
      <c r="M285" s="30"/>
      <c r="O285" s="26"/>
      <c r="P285" s="31"/>
      <c r="Q285" s="31"/>
      <c r="R285" s="26"/>
      <c r="S285" s="26"/>
      <c r="T285" s="31"/>
      <c r="U285" s="26"/>
      <c r="V285" s="26">
        <f t="shared" si="24"/>
        <v>1</v>
      </c>
      <c r="W285" s="26">
        <f t="shared" si="28"/>
        <v>0</v>
      </c>
      <c r="X285" s="26">
        <f>Data_Base[[#This Row],[B.N Total]]-Data_Base[[#This Row],[Nbre Brachements exécuté]]</f>
        <v>1</v>
      </c>
      <c r="Y285" s="26" t="str">
        <f t="shared" si="25"/>
        <v>vendredi</v>
      </c>
      <c r="Z285" s="26" t="str">
        <f t="shared" si="26"/>
        <v>26</v>
      </c>
      <c r="AA285" s="26" t="str">
        <f t="shared" si="29"/>
        <v>04</v>
      </c>
      <c r="AB285" s="26" t="str">
        <f t="shared" si="27"/>
        <v>2024</v>
      </c>
    </row>
    <row r="286" spans="1:28" x14ac:dyDescent="0.25">
      <c r="A286" s="30">
        <v>45408</v>
      </c>
      <c r="B286" s="26" t="s">
        <v>799</v>
      </c>
      <c r="C286" s="26" t="s">
        <v>2</v>
      </c>
      <c r="D286" s="26" t="s">
        <v>800</v>
      </c>
      <c r="E286" s="26"/>
      <c r="G286" s="26"/>
      <c r="H286" s="26"/>
      <c r="I286" s="26"/>
      <c r="J286" s="30"/>
      <c r="K286" s="26"/>
      <c r="M286" s="30"/>
      <c r="O286" s="26"/>
      <c r="P286" s="31"/>
      <c r="Q286" s="31"/>
      <c r="R286" s="26"/>
      <c r="S286" s="26"/>
      <c r="T286" s="31"/>
      <c r="U286" s="26"/>
      <c r="V286" s="26">
        <f t="shared" si="24"/>
        <v>1</v>
      </c>
      <c r="W286" s="26">
        <f t="shared" si="28"/>
        <v>0</v>
      </c>
      <c r="X286" s="26">
        <f>Data_Base[[#This Row],[B.N Total]]-Data_Base[[#This Row],[Nbre Brachements exécuté]]</f>
        <v>1</v>
      </c>
      <c r="Y286" s="26" t="str">
        <f t="shared" si="25"/>
        <v>vendredi</v>
      </c>
      <c r="Z286" s="26" t="str">
        <f t="shared" si="26"/>
        <v>26</v>
      </c>
      <c r="AA286" s="26" t="str">
        <f t="shared" si="29"/>
        <v>04</v>
      </c>
      <c r="AB286" s="26" t="str">
        <f t="shared" si="27"/>
        <v>2024</v>
      </c>
    </row>
    <row r="287" spans="1:28" x14ac:dyDescent="0.25">
      <c r="A287" s="30">
        <v>45408</v>
      </c>
      <c r="B287" s="26" t="s">
        <v>801</v>
      </c>
      <c r="C287" s="26" t="s">
        <v>2</v>
      </c>
      <c r="D287" s="26" t="s">
        <v>802</v>
      </c>
      <c r="E287" s="26"/>
      <c r="G287" s="26"/>
      <c r="H287" s="26"/>
      <c r="I287" s="26"/>
      <c r="J287" s="30"/>
      <c r="K287" s="26"/>
      <c r="M287" s="30"/>
      <c r="O287" s="26"/>
      <c r="P287" s="31"/>
      <c r="Q287" s="31"/>
      <c r="R287" s="26"/>
      <c r="S287" s="26"/>
      <c r="T287" s="31"/>
      <c r="U287" s="26"/>
      <c r="V287" s="26">
        <f t="shared" si="24"/>
        <v>1</v>
      </c>
      <c r="W287" s="26">
        <f t="shared" si="28"/>
        <v>0</v>
      </c>
      <c r="X287" s="26">
        <f>Data_Base[[#This Row],[B.N Total]]-Data_Base[[#This Row],[Nbre Brachements exécuté]]</f>
        <v>1</v>
      </c>
      <c r="Y287" s="26" t="str">
        <f t="shared" si="25"/>
        <v>vendredi</v>
      </c>
      <c r="Z287" s="26" t="str">
        <f t="shared" si="26"/>
        <v>26</v>
      </c>
      <c r="AA287" s="26" t="str">
        <f t="shared" si="29"/>
        <v>04</v>
      </c>
      <c r="AB287" s="26" t="str">
        <f t="shared" si="27"/>
        <v>2024</v>
      </c>
    </row>
    <row r="288" spans="1:28" x14ac:dyDescent="0.25">
      <c r="A288" s="30">
        <v>45408</v>
      </c>
      <c r="B288" s="26" t="s">
        <v>803</v>
      </c>
      <c r="C288" s="26" t="s">
        <v>2</v>
      </c>
      <c r="D288" s="26" t="s">
        <v>804</v>
      </c>
      <c r="E288" s="26"/>
      <c r="F288" s="28">
        <v>674502201</v>
      </c>
      <c r="G288" s="26" t="s">
        <v>160</v>
      </c>
      <c r="H288" s="26" t="s">
        <v>567</v>
      </c>
      <c r="I288" s="26" t="s">
        <v>573</v>
      </c>
      <c r="J288" s="30">
        <v>45425</v>
      </c>
      <c r="K288" s="26"/>
      <c r="M288" s="30"/>
      <c r="O288" s="26"/>
      <c r="P288" s="31"/>
      <c r="Q288" s="31"/>
      <c r="R288" s="26"/>
      <c r="S288" s="26"/>
      <c r="T288" s="31"/>
      <c r="U288" s="26"/>
      <c r="V288" s="26">
        <f t="shared" si="24"/>
        <v>1</v>
      </c>
      <c r="W288" s="26">
        <f t="shared" si="28"/>
        <v>0</v>
      </c>
      <c r="X288" s="26">
        <f>Data_Base[[#This Row],[B.N Total]]-Data_Base[[#This Row],[Nbre Brachements exécuté]]</f>
        <v>1</v>
      </c>
      <c r="Y288" s="26" t="str">
        <f t="shared" si="25"/>
        <v>vendredi</v>
      </c>
      <c r="Z288" s="26" t="str">
        <f t="shared" si="26"/>
        <v>26</v>
      </c>
      <c r="AA288" s="26" t="str">
        <f t="shared" si="29"/>
        <v>04</v>
      </c>
      <c r="AB288" s="26" t="str">
        <f t="shared" si="27"/>
        <v>2024</v>
      </c>
    </row>
    <row r="289" spans="1:28" x14ac:dyDescent="0.25">
      <c r="A289" s="30">
        <v>45408</v>
      </c>
      <c r="B289" s="26" t="s">
        <v>805</v>
      </c>
      <c r="C289" s="26" t="s">
        <v>2</v>
      </c>
      <c r="D289" s="26" t="s">
        <v>806</v>
      </c>
      <c r="E289" s="26"/>
      <c r="F289" s="28">
        <v>679297895</v>
      </c>
      <c r="G289" s="26" t="s">
        <v>160</v>
      </c>
      <c r="H289" s="26" t="s">
        <v>567</v>
      </c>
      <c r="I289" s="26" t="s">
        <v>573</v>
      </c>
      <c r="J289" s="30">
        <v>45425</v>
      </c>
      <c r="K289" s="26" t="s">
        <v>546</v>
      </c>
      <c r="M289" s="30"/>
      <c r="O289" s="26"/>
      <c r="P289" s="31"/>
      <c r="Q289" s="31"/>
      <c r="R289" s="26"/>
      <c r="S289" s="26"/>
      <c r="T289" s="31"/>
      <c r="U289" s="26"/>
      <c r="V289" s="26">
        <f t="shared" si="24"/>
        <v>1</v>
      </c>
      <c r="W289" s="26">
        <f t="shared" si="28"/>
        <v>0</v>
      </c>
      <c r="X289" s="26">
        <f>Data_Base[[#This Row],[B.N Total]]-Data_Base[[#This Row],[Nbre Brachements exécuté]]</f>
        <v>1</v>
      </c>
      <c r="Y289" s="26" t="str">
        <f t="shared" si="25"/>
        <v>vendredi</v>
      </c>
      <c r="Z289" s="26" t="str">
        <f t="shared" si="26"/>
        <v>26</v>
      </c>
      <c r="AA289" s="26" t="str">
        <f t="shared" si="29"/>
        <v>04</v>
      </c>
      <c r="AB289" s="26" t="str">
        <f t="shared" si="27"/>
        <v>2024</v>
      </c>
    </row>
    <row r="290" spans="1:28" x14ac:dyDescent="0.25">
      <c r="A290" s="30">
        <v>45408</v>
      </c>
      <c r="B290" s="26" t="s">
        <v>807</v>
      </c>
      <c r="C290" s="26" t="s">
        <v>2</v>
      </c>
      <c r="D290" s="26" t="s">
        <v>808</v>
      </c>
      <c r="E290" s="26"/>
      <c r="G290" s="26"/>
      <c r="H290" s="26"/>
      <c r="I290" s="26"/>
      <c r="J290" s="30"/>
      <c r="K290" s="26"/>
      <c r="M290" s="30"/>
      <c r="O290" s="26"/>
      <c r="P290" s="31"/>
      <c r="Q290" s="31"/>
      <c r="R290" s="26"/>
      <c r="S290" s="26"/>
      <c r="T290" s="31"/>
      <c r="U290" s="26"/>
      <c r="V290" s="26">
        <f t="shared" si="24"/>
        <v>1</v>
      </c>
      <c r="W290" s="26">
        <f t="shared" si="28"/>
        <v>0</v>
      </c>
      <c r="X290" s="26">
        <f>Data_Base[[#This Row],[B.N Total]]-Data_Base[[#This Row],[Nbre Brachements exécuté]]</f>
        <v>1</v>
      </c>
      <c r="Y290" s="26" t="str">
        <f t="shared" si="25"/>
        <v>vendredi</v>
      </c>
      <c r="Z290" s="26" t="str">
        <f t="shared" si="26"/>
        <v>26</v>
      </c>
      <c r="AA290" s="26" t="str">
        <f t="shared" si="29"/>
        <v>04</v>
      </c>
      <c r="AB290" s="26" t="str">
        <f t="shared" si="27"/>
        <v>2024</v>
      </c>
    </row>
    <row r="291" spans="1:28" x14ac:dyDescent="0.25">
      <c r="A291" s="30">
        <v>45408</v>
      </c>
      <c r="B291" s="26" t="s">
        <v>809</v>
      </c>
      <c r="C291" s="26" t="s">
        <v>2</v>
      </c>
      <c r="D291" s="26" t="s">
        <v>810</v>
      </c>
      <c r="E291" s="26"/>
      <c r="G291" s="26"/>
      <c r="H291" s="26"/>
      <c r="I291" s="26"/>
      <c r="J291" s="30"/>
      <c r="K291" s="26"/>
      <c r="M291" s="30"/>
      <c r="O291" s="26"/>
      <c r="P291" s="31"/>
      <c r="Q291" s="31"/>
      <c r="R291" s="26"/>
      <c r="S291" s="26"/>
      <c r="T291" s="31"/>
      <c r="U291" s="26"/>
      <c r="V291" s="26">
        <f t="shared" si="24"/>
        <v>1</v>
      </c>
      <c r="W291" s="26">
        <f t="shared" si="28"/>
        <v>0</v>
      </c>
      <c r="X291" s="26">
        <f>Data_Base[[#This Row],[B.N Total]]-Data_Base[[#This Row],[Nbre Brachements exécuté]]</f>
        <v>1</v>
      </c>
      <c r="Y291" s="26" t="str">
        <f t="shared" si="25"/>
        <v>vendredi</v>
      </c>
      <c r="Z291" s="26" t="str">
        <f t="shared" si="26"/>
        <v>26</v>
      </c>
      <c r="AA291" s="26" t="str">
        <f t="shared" si="29"/>
        <v>04</v>
      </c>
      <c r="AB291" s="26" t="str">
        <f t="shared" si="27"/>
        <v>2024</v>
      </c>
    </row>
    <row r="292" spans="1:28" x14ac:dyDescent="0.25">
      <c r="A292" s="30">
        <v>45408</v>
      </c>
      <c r="B292" s="26" t="s">
        <v>811</v>
      </c>
      <c r="C292" s="26" t="s">
        <v>2</v>
      </c>
      <c r="D292" s="26" t="s">
        <v>812</v>
      </c>
      <c r="E292" s="26"/>
      <c r="G292" s="26"/>
      <c r="H292" s="26"/>
      <c r="I292" s="26"/>
      <c r="J292" s="30"/>
      <c r="K292" s="26"/>
      <c r="M292" s="30"/>
      <c r="O292" s="26"/>
      <c r="P292" s="31"/>
      <c r="Q292" s="31"/>
      <c r="R292" s="26"/>
      <c r="S292" s="26"/>
      <c r="T292" s="31"/>
      <c r="U292" s="26"/>
      <c r="V292" s="26">
        <f t="shared" si="24"/>
        <v>1</v>
      </c>
      <c r="W292" s="26">
        <f t="shared" si="28"/>
        <v>0</v>
      </c>
      <c r="X292" s="26">
        <f>Data_Base[[#This Row],[B.N Total]]-Data_Base[[#This Row],[Nbre Brachements exécuté]]</f>
        <v>1</v>
      </c>
      <c r="Y292" s="26" t="str">
        <f t="shared" si="25"/>
        <v>vendredi</v>
      </c>
      <c r="Z292" s="26" t="str">
        <f t="shared" si="26"/>
        <v>26</v>
      </c>
      <c r="AA292" s="26" t="str">
        <f t="shared" si="29"/>
        <v>04</v>
      </c>
      <c r="AB292" s="26" t="str">
        <f t="shared" si="27"/>
        <v>2024</v>
      </c>
    </row>
    <row r="293" spans="1:28" x14ac:dyDescent="0.25">
      <c r="A293" s="30">
        <v>45408</v>
      </c>
      <c r="B293" s="26" t="s">
        <v>813</v>
      </c>
      <c r="C293" s="26" t="s">
        <v>2</v>
      </c>
      <c r="D293" s="26" t="s">
        <v>814</v>
      </c>
      <c r="E293" s="26"/>
      <c r="G293" s="26"/>
      <c r="H293" s="26"/>
      <c r="I293" s="26"/>
      <c r="J293" s="30"/>
      <c r="K293" s="26"/>
      <c r="M293" s="30"/>
      <c r="O293" s="26"/>
      <c r="P293" s="31"/>
      <c r="Q293" s="31"/>
      <c r="R293" s="26"/>
      <c r="S293" s="26"/>
      <c r="T293" s="31"/>
      <c r="U293" s="26"/>
      <c r="V293" s="26">
        <f t="shared" si="24"/>
        <v>1</v>
      </c>
      <c r="W293" s="26">
        <f t="shared" si="28"/>
        <v>0</v>
      </c>
      <c r="X293" s="26">
        <f>Data_Base[[#This Row],[B.N Total]]-Data_Base[[#This Row],[Nbre Brachements exécuté]]</f>
        <v>1</v>
      </c>
      <c r="Y293" s="26" t="str">
        <f t="shared" si="25"/>
        <v>vendredi</v>
      </c>
      <c r="Z293" s="26" t="str">
        <f t="shared" si="26"/>
        <v>26</v>
      </c>
      <c r="AA293" s="26" t="str">
        <f t="shared" si="29"/>
        <v>04</v>
      </c>
      <c r="AB293" s="26" t="str">
        <f t="shared" si="27"/>
        <v>2024</v>
      </c>
    </row>
    <row r="294" spans="1:28" x14ac:dyDescent="0.25">
      <c r="A294" s="30">
        <v>45408</v>
      </c>
      <c r="B294" s="26" t="s">
        <v>815</v>
      </c>
      <c r="C294" s="26" t="s">
        <v>2</v>
      </c>
      <c r="D294" s="26" t="s">
        <v>816</v>
      </c>
      <c r="E294" s="26"/>
      <c r="G294" s="26"/>
      <c r="H294" s="26"/>
      <c r="I294" s="26"/>
      <c r="J294" s="30"/>
      <c r="K294" s="26"/>
      <c r="M294" s="30"/>
      <c r="O294" s="26"/>
      <c r="P294" s="31"/>
      <c r="Q294" s="31"/>
      <c r="R294" s="26"/>
      <c r="S294" s="26"/>
      <c r="T294" s="31"/>
      <c r="U294" s="26"/>
      <c r="V294" s="26">
        <f t="shared" si="24"/>
        <v>1</v>
      </c>
      <c r="W294" s="26">
        <f t="shared" si="28"/>
        <v>0</v>
      </c>
      <c r="X294" s="26">
        <f>Data_Base[[#This Row],[B.N Total]]-Data_Base[[#This Row],[Nbre Brachements exécuté]]</f>
        <v>1</v>
      </c>
      <c r="Y294" s="26" t="str">
        <f t="shared" si="25"/>
        <v>vendredi</v>
      </c>
      <c r="Z294" s="26" t="str">
        <f t="shared" si="26"/>
        <v>26</v>
      </c>
      <c r="AA294" s="26" t="str">
        <f t="shared" si="29"/>
        <v>04</v>
      </c>
      <c r="AB294" s="26" t="str">
        <f t="shared" si="27"/>
        <v>2024</v>
      </c>
    </row>
    <row r="295" spans="1:28" x14ac:dyDescent="0.25">
      <c r="A295" s="30">
        <v>45408</v>
      </c>
      <c r="B295" s="26" t="s">
        <v>817</v>
      </c>
      <c r="C295" s="26" t="s">
        <v>2</v>
      </c>
      <c r="D295" s="26" t="s">
        <v>818</v>
      </c>
      <c r="E295" s="26"/>
      <c r="F295" s="28">
        <v>674499795</v>
      </c>
      <c r="G295" s="26" t="s">
        <v>160</v>
      </c>
      <c r="H295" s="26" t="s">
        <v>177</v>
      </c>
      <c r="I295" s="26" t="s">
        <v>1146</v>
      </c>
      <c r="J295" s="30">
        <v>45425</v>
      </c>
      <c r="K295" s="26" t="s">
        <v>546</v>
      </c>
      <c r="M295" s="30"/>
      <c r="O295" s="26"/>
      <c r="P295" s="31"/>
      <c r="Q295" s="31"/>
      <c r="R295" s="26"/>
      <c r="S295" s="26"/>
      <c r="T295" s="31"/>
      <c r="U295" s="26"/>
      <c r="V295" s="26">
        <f t="shared" si="24"/>
        <v>1</v>
      </c>
      <c r="W295" s="26">
        <f t="shared" si="28"/>
        <v>0</v>
      </c>
      <c r="X295" s="26">
        <f>Data_Base[[#This Row],[B.N Total]]-Data_Base[[#This Row],[Nbre Brachements exécuté]]</f>
        <v>1</v>
      </c>
      <c r="Y295" s="26" t="str">
        <f t="shared" si="25"/>
        <v>vendredi</v>
      </c>
      <c r="Z295" s="26" t="str">
        <f t="shared" si="26"/>
        <v>26</v>
      </c>
      <c r="AA295" s="26" t="str">
        <f t="shared" si="29"/>
        <v>04</v>
      </c>
      <c r="AB295" s="26" t="str">
        <f t="shared" si="27"/>
        <v>2024</v>
      </c>
    </row>
    <row r="296" spans="1:28" x14ac:dyDescent="0.25">
      <c r="A296" s="30">
        <v>45408</v>
      </c>
      <c r="B296" s="26" t="s">
        <v>819</v>
      </c>
      <c r="C296" s="26" t="s">
        <v>2</v>
      </c>
      <c r="D296" s="26" t="s">
        <v>820</v>
      </c>
      <c r="E296" s="26"/>
      <c r="F296" s="28">
        <v>698492512</v>
      </c>
      <c r="G296" s="26" t="s">
        <v>160</v>
      </c>
      <c r="H296" s="26" t="s">
        <v>567</v>
      </c>
      <c r="I296" s="26" t="s">
        <v>573</v>
      </c>
      <c r="J296" s="30">
        <v>45425</v>
      </c>
      <c r="K296" s="26" t="s">
        <v>546</v>
      </c>
      <c r="M296" s="30"/>
      <c r="O296" s="26"/>
      <c r="P296" s="31"/>
      <c r="Q296" s="31"/>
      <c r="R296" s="26"/>
      <c r="S296" s="26"/>
      <c r="T296" s="31"/>
      <c r="U296" s="26"/>
      <c r="V296" s="26">
        <f t="shared" si="24"/>
        <v>1</v>
      </c>
      <c r="W296" s="26">
        <f t="shared" si="28"/>
        <v>0</v>
      </c>
      <c r="X296" s="26">
        <f>Data_Base[[#This Row],[B.N Total]]-Data_Base[[#This Row],[Nbre Brachements exécuté]]</f>
        <v>1</v>
      </c>
      <c r="Y296" s="26" t="str">
        <f t="shared" si="25"/>
        <v>vendredi</v>
      </c>
      <c r="Z296" s="26" t="str">
        <f t="shared" si="26"/>
        <v>26</v>
      </c>
      <c r="AA296" s="26" t="str">
        <f t="shared" si="29"/>
        <v>04</v>
      </c>
      <c r="AB296" s="26" t="str">
        <f t="shared" si="27"/>
        <v>2024</v>
      </c>
    </row>
    <row r="297" spans="1:28" x14ac:dyDescent="0.25">
      <c r="A297" s="30">
        <v>45408</v>
      </c>
      <c r="B297" s="26" t="s">
        <v>817</v>
      </c>
      <c r="C297" s="26" t="s">
        <v>2</v>
      </c>
      <c r="D297" s="26" t="s">
        <v>821</v>
      </c>
      <c r="E297" s="26"/>
      <c r="F297" s="28">
        <v>674499795</v>
      </c>
      <c r="G297" s="26" t="s">
        <v>160</v>
      </c>
      <c r="H297" s="26" t="s">
        <v>177</v>
      </c>
      <c r="I297" s="26" t="s">
        <v>1146</v>
      </c>
      <c r="J297" s="30">
        <v>45425</v>
      </c>
      <c r="K297" s="26" t="s">
        <v>546</v>
      </c>
      <c r="M297" s="30"/>
      <c r="O297" s="26"/>
      <c r="P297" s="31"/>
      <c r="Q297" s="31"/>
      <c r="R297" s="26"/>
      <c r="S297" s="26"/>
      <c r="T297" s="31"/>
      <c r="U297" s="26"/>
      <c r="V297" s="26">
        <f t="shared" si="24"/>
        <v>1</v>
      </c>
      <c r="W297" s="26">
        <f t="shared" si="28"/>
        <v>0</v>
      </c>
      <c r="X297" s="26">
        <f>Data_Base[[#This Row],[B.N Total]]-Data_Base[[#This Row],[Nbre Brachements exécuté]]</f>
        <v>1</v>
      </c>
      <c r="Y297" s="26" t="str">
        <f t="shared" si="25"/>
        <v>vendredi</v>
      </c>
      <c r="Z297" s="26" t="str">
        <f t="shared" si="26"/>
        <v>26</v>
      </c>
      <c r="AA297" s="26" t="str">
        <f t="shared" si="29"/>
        <v>04</v>
      </c>
      <c r="AB297" s="26" t="str">
        <f t="shared" si="27"/>
        <v>2024</v>
      </c>
    </row>
    <row r="298" spans="1:28" x14ac:dyDescent="0.25">
      <c r="A298" s="30">
        <v>45408</v>
      </c>
      <c r="B298" s="26" t="s">
        <v>817</v>
      </c>
      <c r="C298" s="26" t="s">
        <v>2</v>
      </c>
      <c r="D298" s="26" t="s">
        <v>822</v>
      </c>
      <c r="E298" s="26"/>
      <c r="F298" s="28">
        <v>674499795</v>
      </c>
      <c r="G298" s="26" t="s">
        <v>160</v>
      </c>
      <c r="H298" s="26" t="s">
        <v>177</v>
      </c>
      <c r="I298" s="26" t="s">
        <v>1146</v>
      </c>
      <c r="J298" s="30">
        <v>45425</v>
      </c>
      <c r="K298" s="26" t="s">
        <v>546</v>
      </c>
      <c r="M298" s="30"/>
      <c r="O298" s="26"/>
      <c r="P298" s="31"/>
      <c r="Q298" s="31"/>
      <c r="R298" s="26"/>
      <c r="S298" s="26"/>
      <c r="T298" s="31"/>
      <c r="U298" s="26"/>
      <c r="V298" s="26">
        <f t="shared" si="24"/>
        <v>1</v>
      </c>
      <c r="W298" s="26">
        <f t="shared" si="28"/>
        <v>0</v>
      </c>
      <c r="X298" s="26">
        <f>Data_Base[[#This Row],[B.N Total]]-Data_Base[[#This Row],[Nbre Brachements exécuté]]</f>
        <v>1</v>
      </c>
      <c r="Y298" s="26" t="str">
        <f t="shared" si="25"/>
        <v>vendredi</v>
      </c>
      <c r="Z298" s="26" t="str">
        <f t="shared" si="26"/>
        <v>26</v>
      </c>
      <c r="AA298" s="26" t="str">
        <f t="shared" si="29"/>
        <v>04</v>
      </c>
      <c r="AB298" s="26" t="str">
        <f t="shared" si="27"/>
        <v>2024</v>
      </c>
    </row>
    <row r="299" spans="1:28" x14ac:dyDescent="0.25">
      <c r="A299" s="30">
        <v>45408</v>
      </c>
      <c r="B299" s="26" t="s">
        <v>823</v>
      </c>
      <c r="C299" s="26" t="s">
        <v>2</v>
      </c>
      <c r="D299" s="26" t="s">
        <v>824</v>
      </c>
      <c r="E299" s="26"/>
      <c r="F299" s="28">
        <v>699033201</v>
      </c>
      <c r="G299" s="26" t="s">
        <v>160</v>
      </c>
      <c r="H299" s="26" t="s">
        <v>567</v>
      </c>
      <c r="I299" s="26" t="s">
        <v>573</v>
      </c>
      <c r="J299" s="30">
        <v>45425</v>
      </c>
      <c r="K299" s="26" t="s">
        <v>546</v>
      </c>
      <c r="M299" s="30"/>
      <c r="O299" s="26"/>
      <c r="P299" s="31"/>
      <c r="Q299" s="31"/>
      <c r="R299" s="26"/>
      <c r="S299" s="26"/>
      <c r="T299" s="31"/>
      <c r="U299" s="26"/>
      <c r="V299" s="26">
        <f t="shared" si="24"/>
        <v>1</v>
      </c>
      <c r="W299" s="26">
        <f t="shared" si="28"/>
        <v>0</v>
      </c>
      <c r="X299" s="26">
        <f>Data_Base[[#This Row],[B.N Total]]-Data_Base[[#This Row],[Nbre Brachements exécuté]]</f>
        <v>1</v>
      </c>
      <c r="Y299" s="26" t="str">
        <f t="shared" si="25"/>
        <v>vendredi</v>
      </c>
      <c r="Z299" s="26" t="str">
        <f t="shared" si="26"/>
        <v>26</v>
      </c>
      <c r="AA299" s="26" t="str">
        <f t="shared" si="29"/>
        <v>04</v>
      </c>
      <c r="AB299" s="26" t="str">
        <f t="shared" si="27"/>
        <v>2024</v>
      </c>
    </row>
    <row r="300" spans="1:28" x14ac:dyDescent="0.25">
      <c r="A300" s="30">
        <v>45408</v>
      </c>
      <c r="B300" s="26" t="s">
        <v>825</v>
      </c>
      <c r="C300" s="26" t="s">
        <v>2</v>
      </c>
      <c r="D300" s="26" t="s">
        <v>826</v>
      </c>
      <c r="E300" s="26"/>
      <c r="F300" s="28">
        <v>679150123</v>
      </c>
      <c r="G300" s="26" t="s">
        <v>160</v>
      </c>
      <c r="H300" s="26" t="s">
        <v>567</v>
      </c>
      <c r="I300" s="26" t="s">
        <v>573</v>
      </c>
      <c r="J300" s="30">
        <v>45425</v>
      </c>
      <c r="K300" s="26" t="s">
        <v>546</v>
      </c>
      <c r="M300" s="30"/>
      <c r="O300" s="26"/>
      <c r="P300" s="31"/>
      <c r="Q300" s="31"/>
      <c r="R300" s="26"/>
      <c r="S300" s="26"/>
      <c r="T300" s="31"/>
      <c r="U300" s="26"/>
      <c r="V300" s="26">
        <f t="shared" si="24"/>
        <v>1</v>
      </c>
      <c r="W300" s="26">
        <f t="shared" si="28"/>
        <v>0</v>
      </c>
      <c r="X300" s="26">
        <f>Data_Base[[#This Row],[B.N Total]]-Data_Base[[#This Row],[Nbre Brachements exécuté]]</f>
        <v>1</v>
      </c>
      <c r="Y300" s="26" t="str">
        <f t="shared" si="25"/>
        <v>vendredi</v>
      </c>
      <c r="Z300" s="26" t="str">
        <f t="shared" si="26"/>
        <v>26</v>
      </c>
      <c r="AA300" s="26" t="str">
        <f t="shared" si="29"/>
        <v>04</v>
      </c>
      <c r="AB300" s="26" t="str">
        <f t="shared" si="27"/>
        <v>2024</v>
      </c>
    </row>
    <row r="301" spans="1:28" x14ac:dyDescent="0.25">
      <c r="A301" s="30">
        <v>45408</v>
      </c>
      <c r="B301" s="26" t="s">
        <v>827</v>
      </c>
      <c r="C301" s="26" t="s">
        <v>2</v>
      </c>
      <c r="D301" s="26" t="s">
        <v>828</v>
      </c>
      <c r="E301" s="26"/>
      <c r="G301" s="26"/>
      <c r="H301" s="26"/>
      <c r="I301" s="26"/>
      <c r="J301" s="30"/>
      <c r="K301" s="26"/>
      <c r="M301" s="30"/>
      <c r="O301" s="26"/>
      <c r="P301" s="31"/>
      <c r="Q301" s="31"/>
      <c r="R301" s="26"/>
      <c r="S301" s="26"/>
      <c r="T301" s="31"/>
      <c r="U301" s="26"/>
      <c r="V301" s="26">
        <f t="shared" si="24"/>
        <v>1</v>
      </c>
      <c r="W301" s="26">
        <f t="shared" si="28"/>
        <v>0</v>
      </c>
      <c r="X301" s="26">
        <f>Data_Base[[#This Row],[B.N Total]]-Data_Base[[#This Row],[Nbre Brachements exécuté]]</f>
        <v>1</v>
      </c>
      <c r="Y301" s="26" t="str">
        <f t="shared" si="25"/>
        <v>vendredi</v>
      </c>
      <c r="Z301" s="26" t="str">
        <f t="shared" si="26"/>
        <v>26</v>
      </c>
      <c r="AA301" s="26" t="str">
        <f t="shared" si="29"/>
        <v>04</v>
      </c>
      <c r="AB301" s="26" t="str">
        <f t="shared" si="27"/>
        <v>2024</v>
      </c>
    </row>
    <row r="302" spans="1:28" x14ac:dyDescent="0.25">
      <c r="A302" s="30">
        <v>45411</v>
      </c>
      <c r="B302" s="26" t="s">
        <v>829</v>
      </c>
      <c r="C302" s="26" t="s">
        <v>66</v>
      </c>
      <c r="D302" s="26" t="s">
        <v>830</v>
      </c>
      <c r="E302" s="26"/>
      <c r="G302" s="26"/>
      <c r="H302" s="26"/>
      <c r="I302" s="26"/>
      <c r="J302" s="30"/>
      <c r="K302" s="26"/>
      <c r="M302" s="30"/>
      <c r="O302" s="26"/>
      <c r="P302" s="31"/>
      <c r="Q302" s="31"/>
      <c r="R302" s="26"/>
      <c r="S302" s="26"/>
      <c r="T302" s="31"/>
      <c r="U302" s="26"/>
      <c r="V302" s="26">
        <f t="shared" si="24"/>
        <v>1</v>
      </c>
      <c r="W302" s="26">
        <f t="shared" si="28"/>
        <v>0</v>
      </c>
      <c r="X302" s="26">
        <f>Data_Base[[#This Row],[B.N Total]]-Data_Base[[#This Row],[Nbre Brachements exécuté]]</f>
        <v>1</v>
      </c>
      <c r="Y302" s="26" t="str">
        <f t="shared" si="25"/>
        <v>lundi</v>
      </c>
      <c r="Z302" s="26" t="str">
        <f t="shared" si="26"/>
        <v>29</v>
      </c>
      <c r="AA302" s="26" t="str">
        <f t="shared" si="29"/>
        <v>04</v>
      </c>
      <c r="AB302" s="26" t="str">
        <f t="shared" si="27"/>
        <v>2024</v>
      </c>
    </row>
    <row r="303" spans="1:28" x14ac:dyDescent="0.25">
      <c r="A303" s="30">
        <v>45412</v>
      </c>
      <c r="B303" s="26" t="s">
        <v>831</v>
      </c>
      <c r="C303" s="26" t="s">
        <v>3</v>
      </c>
      <c r="D303" s="26" t="s">
        <v>832</v>
      </c>
      <c r="E303" s="26" t="s">
        <v>616</v>
      </c>
      <c r="F303" s="28">
        <v>676746883</v>
      </c>
      <c r="G303" s="26" t="s">
        <v>160</v>
      </c>
      <c r="H303" s="26" t="s">
        <v>161</v>
      </c>
      <c r="I303" s="26" t="s">
        <v>160</v>
      </c>
      <c r="J303" s="30">
        <v>45412</v>
      </c>
      <c r="K303" s="26" t="s">
        <v>546</v>
      </c>
      <c r="L303" s="26" t="s">
        <v>833</v>
      </c>
      <c r="M303" s="30">
        <v>45412</v>
      </c>
      <c r="N303" s="26" t="s">
        <v>833</v>
      </c>
      <c r="O303" s="26" t="s">
        <v>599</v>
      </c>
      <c r="P303" s="31">
        <v>30</v>
      </c>
      <c r="Q303" s="31"/>
      <c r="R303" s="26" t="s">
        <v>547</v>
      </c>
      <c r="S303" s="26"/>
      <c r="T303" s="31"/>
      <c r="U303" s="26"/>
      <c r="V303" s="26">
        <f t="shared" si="24"/>
        <v>1</v>
      </c>
      <c r="W303" s="26">
        <f t="shared" si="28"/>
        <v>1</v>
      </c>
      <c r="X303" s="26">
        <f>Data_Base[[#This Row],[B.N Total]]-Data_Base[[#This Row],[Nbre Brachements exécuté]]</f>
        <v>0</v>
      </c>
      <c r="Y303" s="26" t="str">
        <f t="shared" si="25"/>
        <v>mardi</v>
      </c>
      <c r="Z303" s="26" t="str">
        <f t="shared" si="26"/>
        <v>30</v>
      </c>
      <c r="AA303" s="26" t="str">
        <f t="shared" si="29"/>
        <v>04</v>
      </c>
      <c r="AB303" s="26" t="str">
        <f t="shared" si="27"/>
        <v>2024</v>
      </c>
    </row>
    <row r="304" spans="1:28" x14ac:dyDescent="0.25">
      <c r="A304" s="30">
        <v>45412</v>
      </c>
      <c r="B304" s="26" t="s">
        <v>831</v>
      </c>
      <c r="C304" s="26" t="s">
        <v>3</v>
      </c>
      <c r="D304" s="26" t="s">
        <v>834</v>
      </c>
      <c r="E304" s="26" t="s">
        <v>616</v>
      </c>
      <c r="F304" s="28">
        <v>676746883</v>
      </c>
      <c r="G304" s="26" t="s">
        <v>160</v>
      </c>
      <c r="H304" s="26" t="s">
        <v>161</v>
      </c>
      <c r="I304" s="26" t="s">
        <v>160</v>
      </c>
      <c r="J304" s="30">
        <v>45412</v>
      </c>
      <c r="K304" s="26" t="s">
        <v>546</v>
      </c>
      <c r="L304" s="26" t="s">
        <v>835</v>
      </c>
      <c r="M304" s="30">
        <v>45412</v>
      </c>
      <c r="N304" s="26" t="s">
        <v>835</v>
      </c>
      <c r="O304" s="26" t="s">
        <v>599</v>
      </c>
      <c r="P304" s="31">
        <v>30</v>
      </c>
      <c r="Q304" s="31"/>
      <c r="R304" s="26" t="s">
        <v>547</v>
      </c>
      <c r="S304" s="26"/>
      <c r="T304" s="31"/>
      <c r="U304" s="26"/>
      <c r="V304" s="26">
        <f t="shared" si="24"/>
        <v>1</v>
      </c>
      <c r="W304" s="26">
        <f t="shared" si="28"/>
        <v>1</v>
      </c>
      <c r="X304" s="26">
        <f>Data_Base[[#This Row],[B.N Total]]-Data_Base[[#This Row],[Nbre Brachements exécuté]]</f>
        <v>0</v>
      </c>
      <c r="Y304" s="26" t="str">
        <f t="shared" si="25"/>
        <v>mardi</v>
      </c>
      <c r="Z304" s="26" t="str">
        <f t="shared" si="26"/>
        <v>30</v>
      </c>
      <c r="AA304" s="26" t="str">
        <f t="shared" si="29"/>
        <v>04</v>
      </c>
      <c r="AB304" s="26" t="str">
        <f t="shared" si="27"/>
        <v>2024</v>
      </c>
    </row>
    <row r="305" spans="1:28" x14ac:dyDescent="0.25">
      <c r="A305" s="30">
        <v>45412</v>
      </c>
      <c r="B305" s="26" t="s">
        <v>836</v>
      </c>
      <c r="C305" s="26" t="s">
        <v>3</v>
      </c>
      <c r="D305" s="26" t="s">
        <v>837</v>
      </c>
      <c r="E305" s="26" t="s">
        <v>142</v>
      </c>
      <c r="F305" s="28">
        <v>691743750</v>
      </c>
      <c r="G305" s="26" t="s">
        <v>160</v>
      </c>
      <c r="H305" s="26" t="s">
        <v>161</v>
      </c>
      <c r="I305" s="26" t="s">
        <v>160</v>
      </c>
      <c r="J305" s="30">
        <v>45412</v>
      </c>
      <c r="K305" s="26" t="s">
        <v>546</v>
      </c>
      <c r="L305" s="26" t="s">
        <v>838</v>
      </c>
      <c r="M305" s="30">
        <v>45412</v>
      </c>
      <c r="N305" s="26" t="s">
        <v>838</v>
      </c>
      <c r="O305" s="26" t="s">
        <v>141</v>
      </c>
      <c r="P305" s="31">
        <v>15</v>
      </c>
      <c r="Q305" s="31"/>
      <c r="R305" s="26" t="s">
        <v>547</v>
      </c>
      <c r="S305" s="26"/>
      <c r="T305" s="31"/>
      <c r="U305" s="26"/>
      <c r="V305" s="26">
        <f t="shared" si="24"/>
        <v>1</v>
      </c>
      <c r="W305" s="26">
        <f t="shared" si="28"/>
        <v>1</v>
      </c>
      <c r="X305" s="26">
        <f>Data_Base[[#This Row],[B.N Total]]-Data_Base[[#This Row],[Nbre Brachements exécuté]]</f>
        <v>0</v>
      </c>
      <c r="Y305" s="26" t="str">
        <f t="shared" si="25"/>
        <v>mardi</v>
      </c>
      <c r="Z305" s="26" t="str">
        <f t="shared" si="26"/>
        <v>30</v>
      </c>
      <c r="AA305" s="26" t="str">
        <f t="shared" si="29"/>
        <v>04</v>
      </c>
      <c r="AB305" s="26" t="str">
        <f t="shared" si="27"/>
        <v>2024</v>
      </c>
    </row>
    <row r="306" spans="1:28" x14ac:dyDescent="0.25">
      <c r="A306" s="30">
        <v>45412</v>
      </c>
      <c r="B306" s="26" t="s">
        <v>839</v>
      </c>
      <c r="C306" s="26" t="s">
        <v>3</v>
      </c>
      <c r="D306" s="26" t="s">
        <v>840</v>
      </c>
      <c r="E306" s="26" t="s">
        <v>142</v>
      </c>
      <c r="F306" s="28">
        <v>677753428</v>
      </c>
      <c r="G306" s="26" t="s">
        <v>160</v>
      </c>
      <c r="H306" s="26" t="s">
        <v>161</v>
      </c>
      <c r="I306" s="26" t="s">
        <v>160</v>
      </c>
      <c r="J306" s="30">
        <v>45412</v>
      </c>
      <c r="K306" s="26" t="s">
        <v>546</v>
      </c>
      <c r="L306" s="26" t="s">
        <v>841</v>
      </c>
      <c r="M306" s="30">
        <v>45412</v>
      </c>
      <c r="N306" s="26" t="s">
        <v>841</v>
      </c>
      <c r="O306" s="26" t="s">
        <v>141</v>
      </c>
      <c r="P306" s="31">
        <v>15</v>
      </c>
      <c r="Q306" s="31"/>
      <c r="R306" s="26" t="s">
        <v>547</v>
      </c>
      <c r="S306" s="26"/>
      <c r="T306" s="31"/>
      <c r="U306" s="26"/>
      <c r="V306" s="26">
        <f t="shared" si="24"/>
        <v>1</v>
      </c>
      <c r="W306" s="26">
        <f t="shared" si="28"/>
        <v>1</v>
      </c>
      <c r="X306" s="26">
        <f>Data_Base[[#This Row],[B.N Total]]-Data_Base[[#This Row],[Nbre Brachements exécuté]]</f>
        <v>0</v>
      </c>
      <c r="Y306" s="26" t="str">
        <f t="shared" si="25"/>
        <v>mardi</v>
      </c>
      <c r="Z306" s="26" t="str">
        <f t="shared" si="26"/>
        <v>30</v>
      </c>
      <c r="AA306" s="26" t="str">
        <f t="shared" si="29"/>
        <v>04</v>
      </c>
      <c r="AB306" s="26" t="str">
        <f t="shared" si="27"/>
        <v>2024</v>
      </c>
    </row>
    <row r="307" spans="1:28" x14ac:dyDescent="0.25">
      <c r="A307" s="30">
        <v>45414</v>
      </c>
      <c r="B307" s="26" t="s">
        <v>842</v>
      </c>
      <c r="C307" s="26" t="s">
        <v>3</v>
      </c>
      <c r="D307" s="26" t="s">
        <v>843</v>
      </c>
      <c r="E307" s="26"/>
      <c r="G307" s="26"/>
      <c r="H307" s="26"/>
      <c r="I307" s="26"/>
      <c r="J307" s="30"/>
      <c r="K307" s="26"/>
      <c r="M307" s="30"/>
      <c r="O307" s="26"/>
      <c r="P307" s="31"/>
      <c r="Q307" s="31"/>
      <c r="R307" s="26"/>
      <c r="S307" s="26"/>
      <c r="T307" s="31"/>
      <c r="U307" s="26"/>
      <c r="V307" s="26">
        <f t="shared" si="24"/>
        <v>1</v>
      </c>
      <c r="W307" s="26">
        <f t="shared" si="28"/>
        <v>0</v>
      </c>
      <c r="X307" s="26">
        <f>Data_Base[[#This Row],[B.N Total]]-Data_Base[[#This Row],[Nbre Brachements exécuté]]</f>
        <v>1</v>
      </c>
      <c r="Y307" s="26" t="str">
        <f t="shared" si="25"/>
        <v>jeudi</v>
      </c>
      <c r="Z307" s="26" t="str">
        <f t="shared" si="26"/>
        <v>02</v>
      </c>
      <c r="AA307" s="26" t="str">
        <f t="shared" si="29"/>
        <v>05</v>
      </c>
      <c r="AB307" s="26" t="str">
        <f t="shared" si="27"/>
        <v>2024</v>
      </c>
    </row>
    <row r="308" spans="1:28" x14ac:dyDescent="0.25">
      <c r="A308" s="30">
        <v>45414</v>
      </c>
      <c r="B308" s="26" t="s">
        <v>844</v>
      </c>
      <c r="C308" s="26" t="s">
        <v>3</v>
      </c>
      <c r="D308" s="26" t="s">
        <v>845</v>
      </c>
      <c r="E308" s="26"/>
      <c r="G308" s="26"/>
      <c r="H308" s="26"/>
      <c r="I308" s="26"/>
      <c r="J308" s="30"/>
      <c r="K308" s="26"/>
      <c r="M308" s="30"/>
      <c r="O308" s="26"/>
      <c r="P308" s="31"/>
      <c r="Q308" s="31"/>
      <c r="R308" s="26"/>
      <c r="S308" s="26"/>
      <c r="T308" s="31"/>
      <c r="U308" s="26"/>
      <c r="V308" s="26">
        <f t="shared" si="24"/>
        <v>1</v>
      </c>
      <c r="W308" s="26">
        <f t="shared" si="28"/>
        <v>0</v>
      </c>
      <c r="X308" s="26">
        <f>Data_Base[[#This Row],[B.N Total]]-Data_Base[[#This Row],[Nbre Brachements exécuté]]</f>
        <v>1</v>
      </c>
      <c r="Y308" s="26" t="str">
        <f t="shared" si="25"/>
        <v>jeudi</v>
      </c>
      <c r="Z308" s="26" t="str">
        <f t="shared" si="26"/>
        <v>02</v>
      </c>
      <c r="AA308" s="26" t="str">
        <f t="shared" si="29"/>
        <v>05</v>
      </c>
      <c r="AB308" s="26" t="str">
        <f t="shared" si="27"/>
        <v>2024</v>
      </c>
    </row>
    <row r="309" spans="1:28" x14ac:dyDescent="0.25">
      <c r="A309" s="30">
        <v>45412</v>
      </c>
      <c r="B309" s="26" t="s">
        <v>846</v>
      </c>
      <c r="C309" s="26" t="s">
        <v>3</v>
      </c>
      <c r="D309" s="26" t="s">
        <v>847</v>
      </c>
      <c r="E309" s="26" t="s">
        <v>616</v>
      </c>
      <c r="F309" s="28">
        <v>696567602</v>
      </c>
      <c r="G309" s="26" t="s">
        <v>160</v>
      </c>
      <c r="H309" s="26" t="s">
        <v>325</v>
      </c>
      <c r="I309" s="26" t="s">
        <v>160</v>
      </c>
      <c r="J309" s="30">
        <v>45412</v>
      </c>
      <c r="K309" s="26" t="s">
        <v>546</v>
      </c>
      <c r="L309" s="26" t="s">
        <v>848</v>
      </c>
      <c r="M309" s="30">
        <v>45412</v>
      </c>
      <c r="N309" s="26" t="s">
        <v>848</v>
      </c>
      <c r="O309" s="26" t="s">
        <v>141</v>
      </c>
      <c r="P309" s="31">
        <v>30</v>
      </c>
      <c r="Q309" s="31">
        <v>0</v>
      </c>
      <c r="R309" s="26" t="s">
        <v>547</v>
      </c>
      <c r="S309" s="26"/>
      <c r="T309" s="31"/>
      <c r="U309" s="26"/>
      <c r="V309" s="26">
        <f t="shared" si="24"/>
        <v>1</v>
      </c>
      <c r="W309" s="26">
        <f t="shared" si="28"/>
        <v>1</v>
      </c>
      <c r="X309" s="26">
        <f>Data_Base[[#This Row],[B.N Total]]-Data_Base[[#This Row],[Nbre Brachements exécuté]]</f>
        <v>0</v>
      </c>
      <c r="Y309" s="26" t="str">
        <f t="shared" si="25"/>
        <v>mardi</v>
      </c>
      <c r="Z309" s="26" t="str">
        <f t="shared" si="26"/>
        <v>30</v>
      </c>
      <c r="AA309" s="26" t="str">
        <f t="shared" si="29"/>
        <v>04</v>
      </c>
      <c r="AB309" s="26" t="str">
        <f t="shared" si="27"/>
        <v>2024</v>
      </c>
    </row>
    <row r="310" spans="1:28" x14ac:dyDescent="0.25">
      <c r="A310" s="30">
        <v>45414</v>
      </c>
      <c r="B310" s="26" t="s">
        <v>849</v>
      </c>
      <c r="C310" s="26" t="s">
        <v>2</v>
      </c>
      <c r="D310" s="26" t="s">
        <v>850</v>
      </c>
      <c r="E310" s="26"/>
      <c r="F310" s="28">
        <v>690459656</v>
      </c>
      <c r="G310" s="26" t="s">
        <v>160</v>
      </c>
      <c r="H310" s="26" t="s">
        <v>344</v>
      </c>
      <c r="I310" s="26" t="s">
        <v>556</v>
      </c>
      <c r="J310" s="30">
        <v>45419</v>
      </c>
      <c r="K310" s="26" t="s">
        <v>546</v>
      </c>
      <c r="M310" s="30"/>
      <c r="O310" s="26"/>
      <c r="P310" s="31"/>
      <c r="Q310" s="31"/>
      <c r="R310" s="26"/>
      <c r="S310" s="26"/>
      <c r="T310" s="31"/>
      <c r="U310" s="26"/>
      <c r="V310" s="26">
        <f t="shared" si="24"/>
        <v>1</v>
      </c>
      <c r="W310" s="26">
        <f t="shared" si="28"/>
        <v>0</v>
      </c>
      <c r="X310" s="26">
        <f>Data_Base[[#This Row],[B.N Total]]-Data_Base[[#This Row],[Nbre Brachements exécuté]]</f>
        <v>1</v>
      </c>
      <c r="Y310" s="26" t="str">
        <f t="shared" si="25"/>
        <v>jeudi</v>
      </c>
      <c r="Z310" s="26" t="str">
        <f t="shared" si="26"/>
        <v>02</v>
      </c>
      <c r="AA310" s="26" t="str">
        <f t="shared" si="29"/>
        <v>05</v>
      </c>
      <c r="AB310" s="26" t="str">
        <f t="shared" si="27"/>
        <v>2024</v>
      </c>
    </row>
    <row r="311" spans="1:28" x14ac:dyDescent="0.25">
      <c r="A311" s="30">
        <v>45414</v>
      </c>
      <c r="B311" s="26" t="s">
        <v>851</v>
      </c>
      <c r="C311" s="26" t="s">
        <v>3</v>
      </c>
      <c r="D311" s="26" t="s">
        <v>852</v>
      </c>
      <c r="E311" s="26" t="s">
        <v>142</v>
      </c>
      <c r="F311" s="28">
        <v>655094978</v>
      </c>
      <c r="G311" s="26" t="s">
        <v>160</v>
      </c>
      <c r="H311" s="26" t="s">
        <v>161</v>
      </c>
      <c r="I311" s="26" t="s">
        <v>586</v>
      </c>
      <c r="J311" s="30">
        <v>45420</v>
      </c>
      <c r="K311" s="26" t="s">
        <v>546</v>
      </c>
      <c r="L311" s="26" t="s">
        <v>1151</v>
      </c>
      <c r="M311" s="30">
        <v>45420</v>
      </c>
      <c r="N311" s="26" t="s">
        <v>1151</v>
      </c>
      <c r="O311" s="26" t="s">
        <v>582</v>
      </c>
      <c r="P311" s="31">
        <v>20</v>
      </c>
      <c r="Q311" s="31">
        <v>10</v>
      </c>
      <c r="R311" s="26" t="s">
        <v>547</v>
      </c>
      <c r="S311" s="26"/>
      <c r="T311" s="31"/>
      <c r="U311" s="26"/>
      <c r="V311" s="26">
        <f t="shared" si="24"/>
        <v>1</v>
      </c>
      <c r="W311" s="26">
        <f t="shared" si="28"/>
        <v>1</v>
      </c>
      <c r="X311" s="26">
        <f>Data_Base[[#This Row],[B.N Total]]-Data_Base[[#This Row],[Nbre Brachements exécuté]]</f>
        <v>0</v>
      </c>
      <c r="Y311" s="26" t="str">
        <f t="shared" si="25"/>
        <v>jeudi</v>
      </c>
      <c r="Z311" s="26" t="str">
        <f t="shared" si="26"/>
        <v>02</v>
      </c>
      <c r="AA311" s="26" t="str">
        <f t="shared" si="29"/>
        <v>05</v>
      </c>
      <c r="AB311" s="26" t="str">
        <f t="shared" si="27"/>
        <v>2024</v>
      </c>
    </row>
    <row r="312" spans="1:28" x14ac:dyDescent="0.25">
      <c r="A312" s="30">
        <v>45415</v>
      </c>
      <c r="B312" s="26" t="s">
        <v>853</v>
      </c>
      <c r="C312" s="26" t="s">
        <v>2</v>
      </c>
      <c r="D312" s="26" t="s">
        <v>854</v>
      </c>
      <c r="E312" s="26"/>
      <c r="G312" s="26"/>
      <c r="H312" s="26"/>
      <c r="I312" s="26"/>
      <c r="J312" s="30"/>
      <c r="K312" s="26"/>
      <c r="M312" s="30"/>
      <c r="O312" s="26"/>
      <c r="P312" s="31"/>
      <c r="Q312" s="31"/>
      <c r="R312" s="26"/>
      <c r="S312" s="26"/>
      <c r="T312" s="31"/>
      <c r="U312" s="26"/>
      <c r="V312" s="26">
        <f t="shared" si="24"/>
        <v>1</v>
      </c>
      <c r="W312" s="26">
        <f t="shared" si="28"/>
        <v>0</v>
      </c>
      <c r="X312" s="26">
        <f>Data_Base[[#This Row],[B.N Total]]-Data_Base[[#This Row],[Nbre Brachements exécuté]]</f>
        <v>1</v>
      </c>
      <c r="Y312" s="26" t="str">
        <f t="shared" si="25"/>
        <v>vendredi</v>
      </c>
      <c r="Z312" s="26" t="str">
        <f t="shared" si="26"/>
        <v>03</v>
      </c>
      <c r="AA312" s="26" t="str">
        <f t="shared" si="29"/>
        <v>05</v>
      </c>
      <c r="AB312" s="26" t="str">
        <f t="shared" si="27"/>
        <v>2024</v>
      </c>
    </row>
    <row r="313" spans="1:28" x14ac:dyDescent="0.25">
      <c r="A313" s="30">
        <v>45415</v>
      </c>
      <c r="B313" s="26" t="s">
        <v>855</v>
      </c>
      <c r="C313" s="26" t="s">
        <v>2</v>
      </c>
      <c r="D313" s="26" t="s">
        <v>856</v>
      </c>
      <c r="E313" s="26"/>
      <c r="G313" s="26"/>
      <c r="H313" s="26"/>
      <c r="I313" s="26"/>
      <c r="J313" s="30"/>
      <c r="K313" s="26"/>
      <c r="M313" s="30"/>
      <c r="O313" s="26"/>
      <c r="P313" s="31"/>
      <c r="Q313" s="31"/>
      <c r="R313" s="26"/>
      <c r="S313" s="26"/>
      <c r="T313" s="31"/>
      <c r="U313" s="26"/>
      <c r="V313" s="26">
        <f t="shared" si="24"/>
        <v>1</v>
      </c>
      <c r="W313" s="26">
        <f t="shared" si="28"/>
        <v>0</v>
      </c>
      <c r="X313" s="26">
        <f>Data_Base[[#This Row],[B.N Total]]-Data_Base[[#This Row],[Nbre Brachements exécuté]]</f>
        <v>1</v>
      </c>
      <c r="Y313" s="26" t="str">
        <f t="shared" si="25"/>
        <v>vendredi</v>
      </c>
      <c r="Z313" s="26" t="str">
        <f t="shared" si="26"/>
        <v>03</v>
      </c>
      <c r="AA313" s="26" t="str">
        <f t="shared" si="29"/>
        <v>05</v>
      </c>
      <c r="AB313" s="26" t="str">
        <f t="shared" si="27"/>
        <v>2024</v>
      </c>
    </row>
    <row r="314" spans="1:28" x14ac:dyDescent="0.25">
      <c r="A314" s="30">
        <v>45415</v>
      </c>
      <c r="B314" s="26" t="s">
        <v>857</v>
      </c>
      <c r="C314" s="26" t="s">
        <v>2</v>
      </c>
      <c r="D314" s="26" t="s">
        <v>858</v>
      </c>
      <c r="E314" s="26"/>
      <c r="G314" s="26"/>
      <c r="H314" s="26"/>
      <c r="I314" s="26"/>
      <c r="J314" s="30"/>
      <c r="K314" s="26"/>
      <c r="M314" s="30"/>
      <c r="O314" s="26"/>
      <c r="P314" s="31"/>
      <c r="Q314" s="31"/>
      <c r="R314" s="26"/>
      <c r="S314" s="26"/>
      <c r="T314" s="31"/>
      <c r="U314" s="26"/>
      <c r="V314" s="26">
        <f t="shared" si="24"/>
        <v>1</v>
      </c>
      <c r="W314" s="26">
        <f t="shared" si="28"/>
        <v>0</v>
      </c>
      <c r="X314" s="26">
        <f>Data_Base[[#This Row],[B.N Total]]-Data_Base[[#This Row],[Nbre Brachements exécuté]]</f>
        <v>1</v>
      </c>
      <c r="Y314" s="26" t="str">
        <f t="shared" si="25"/>
        <v>vendredi</v>
      </c>
      <c r="Z314" s="26" t="str">
        <f t="shared" si="26"/>
        <v>03</v>
      </c>
      <c r="AA314" s="26" t="str">
        <f t="shared" si="29"/>
        <v>05</v>
      </c>
      <c r="AB314" s="26" t="str">
        <f t="shared" si="27"/>
        <v>2024</v>
      </c>
    </row>
    <row r="315" spans="1:28" x14ac:dyDescent="0.25">
      <c r="A315" s="30">
        <v>45415</v>
      </c>
      <c r="B315" s="26" t="s">
        <v>859</v>
      </c>
      <c r="C315" s="26" t="s">
        <v>2</v>
      </c>
      <c r="D315" s="26" t="s">
        <v>860</v>
      </c>
      <c r="E315" s="26"/>
      <c r="G315" s="26"/>
      <c r="H315" s="26"/>
      <c r="I315" s="26"/>
      <c r="J315" s="30"/>
      <c r="K315" s="26"/>
      <c r="M315" s="30"/>
      <c r="O315" s="26"/>
      <c r="P315" s="31"/>
      <c r="Q315" s="31"/>
      <c r="R315" s="26"/>
      <c r="S315" s="26"/>
      <c r="T315" s="31"/>
      <c r="U315" s="26"/>
      <c r="V315" s="26">
        <f t="shared" si="24"/>
        <v>1</v>
      </c>
      <c r="W315" s="26">
        <f t="shared" si="28"/>
        <v>0</v>
      </c>
      <c r="X315" s="26">
        <f>Data_Base[[#This Row],[B.N Total]]-Data_Base[[#This Row],[Nbre Brachements exécuté]]</f>
        <v>1</v>
      </c>
      <c r="Y315" s="26" t="str">
        <f t="shared" si="25"/>
        <v>vendredi</v>
      </c>
      <c r="Z315" s="26" t="str">
        <f t="shared" si="26"/>
        <v>03</v>
      </c>
      <c r="AA315" s="26" t="str">
        <f t="shared" si="29"/>
        <v>05</v>
      </c>
      <c r="AB315" s="26" t="str">
        <f t="shared" si="27"/>
        <v>2024</v>
      </c>
    </row>
    <row r="316" spans="1:28" x14ac:dyDescent="0.25">
      <c r="A316" s="30">
        <v>45415</v>
      </c>
      <c r="B316" s="26" t="s">
        <v>861</v>
      </c>
      <c r="C316" s="26" t="s">
        <v>2</v>
      </c>
      <c r="D316" s="26" t="s">
        <v>862</v>
      </c>
      <c r="E316" s="26"/>
      <c r="G316" s="26"/>
      <c r="H316" s="26"/>
      <c r="I316" s="26"/>
      <c r="J316" s="30"/>
      <c r="K316" s="26"/>
      <c r="M316" s="30"/>
      <c r="O316" s="26"/>
      <c r="P316" s="31"/>
      <c r="Q316" s="31"/>
      <c r="R316" s="26"/>
      <c r="S316" s="26"/>
      <c r="T316" s="31"/>
      <c r="U316" s="26"/>
      <c r="V316" s="26">
        <f t="shared" si="24"/>
        <v>1</v>
      </c>
      <c r="W316" s="26">
        <f t="shared" si="28"/>
        <v>0</v>
      </c>
      <c r="X316" s="26">
        <f>Data_Base[[#This Row],[B.N Total]]-Data_Base[[#This Row],[Nbre Brachements exécuté]]</f>
        <v>1</v>
      </c>
      <c r="Y316" s="26" t="str">
        <f t="shared" si="25"/>
        <v>vendredi</v>
      </c>
      <c r="Z316" s="26" t="str">
        <f t="shared" si="26"/>
        <v>03</v>
      </c>
      <c r="AA316" s="26" t="str">
        <f t="shared" si="29"/>
        <v>05</v>
      </c>
      <c r="AB316" s="26" t="str">
        <f t="shared" si="27"/>
        <v>2024</v>
      </c>
    </row>
    <row r="317" spans="1:28" x14ac:dyDescent="0.25">
      <c r="A317" s="30">
        <v>45415</v>
      </c>
      <c r="B317" s="26" t="s">
        <v>863</v>
      </c>
      <c r="C317" s="26" t="s">
        <v>2</v>
      </c>
      <c r="D317" s="26" t="s">
        <v>864</v>
      </c>
      <c r="E317" s="26"/>
      <c r="G317" s="26"/>
      <c r="H317" s="26"/>
      <c r="I317" s="26"/>
      <c r="J317" s="30"/>
      <c r="K317" s="26"/>
      <c r="M317" s="30"/>
      <c r="O317" s="26"/>
      <c r="P317" s="31"/>
      <c r="Q317" s="31"/>
      <c r="R317" s="26"/>
      <c r="S317" s="26"/>
      <c r="T317" s="31"/>
      <c r="U317" s="26"/>
      <c r="V317" s="26">
        <f t="shared" si="24"/>
        <v>1</v>
      </c>
      <c r="W317" s="26">
        <f t="shared" si="28"/>
        <v>0</v>
      </c>
      <c r="X317" s="26">
        <f>Data_Base[[#This Row],[B.N Total]]-Data_Base[[#This Row],[Nbre Brachements exécuté]]</f>
        <v>1</v>
      </c>
      <c r="Y317" s="26" t="str">
        <f t="shared" si="25"/>
        <v>vendredi</v>
      </c>
      <c r="Z317" s="26" t="str">
        <f t="shared" si="26"/>
        <v>03</v>
      </c>
      <c r="AA317" s="26" t="str">
        <f t="shared" si="29"/>
        <v>05</v>
      </c>
      <c r="AB317" s="26" t="str">
        <f t="shared" si="27"/>
        <v>2024</v>
      </c>
    </row>
    <row r="318" spans="1:28" x14ac:dyDescent="0.25">
      <c r="A318" s="30">
        <v>45415</v>
      </c>
      <c r="B318" s="26" t="s">
        <v>865</v>
      </c>
      <c r="C318" s="26" t="s">
        <v>2</v>
      </c>
      <c r="D318" s="26" t="s">
        <v>866</v>
      </c>
      <c r="E318" s="26"/>
      <c r="G318" s="26"/>
      <c r="H318" s="26"/>
      <c r="I318" s="26"/>
      <c r="J318" s="30"/>
      <c r="K318" s="26"/>
      <c r="M318" s="30"/>
      <c r="O318" s="26"/>
      <c r="P318" s="31"/>
      <c r="Q318" s="31"/>
      <c r="R318" s="26"/>
      <c r="S318" s="26"/>
      <c r="T318" s="31"/>
      <c r="U318" s="26"/>
      <c r="V318" s="26">
        <f t="shared" si="24"/>
        <v>1</v>
      </c>
      <c r="W318" s="26">
        <f t="shared" si="28"/>
        <v>0</v>
      </c>
      <c r="X318" s="26">
        <f>Data_Base[[#This Row],[B.N Total]]-Data_Base[[#This Row],[Nbre Brachements exécuté]]</f>
        <v>1</v>
      </c>
      <c r="Y318" s="26" t="str">
        <f t="shared" si="25"/>
        <v>vendredi</v>
      </c>
      <c r="Z318" s="26" t="str">
        <f t="shared" si="26"/>
        <v>03</v>
      </c>
      <c r="AA318" s="26" t="str">
        <f t="shared" si="29"/>
        <v>05</v>
      </c>
      <c r="AB318" s="26" t="str">
        <f t="shared" si="27"/>
        <v>2024</v>
      </c>
    </row>
    <row r="319" spans="1:28" x14ac:dyDescent="0.25">
      <c r="A319" s="30">
        <v>45415</v>
      </c>
      <c r="B319" s="26" t="s">
        <v>867</v>
      </c>
      <c r="C319" s="26" t="s">
        <v>2</v>
      </c>
      <c r="D319" s="26" t="s">
        <v>868</v>
      </c>
      <c r="E319" s="26"/>
      <c r="G319" s="26"/>
      <c r="H319" s="26"/>
      <c r="I319" s="26"/>
      <c r="J319" s="30"/>
      <c r="K319" s="26"/>
      <c r="M319" s="30"/>
      <c r="O319" s="26"/>
      <c r="P319" s="31"/>
      <c r="Q319" s="31"/>
      <c r="R319" s="26"/>
      <c r="S319" s="26"/>
      <c r="T319" s="31"/>
      <c r="U319" s="26"/>
      <c r="V319" s="26">
        <f t="shared" si="24"/>
        <v>1</v>
      </c>
      <c r="W319" s="26">
        <f t="shared" si="28"/>
        <v>0</v>
      </c>
      <c r="X319" s="26">
        <f>Data_Base[[#This Row],[B.N Total]]-Data_Base[[#This Row],[Nbre Brachements exécuté]]</f>
        <v>1</v>
      </c>
      <c r="Y319" s="26" t="str">
        <f t="shared" si="25"/>
        <v>vendredi</v>
      </c>
      <c r="Z319" s="26" t="str">
        <f t="shared" si="26"/>
        <v>03</v>
      </c>
      <c r="AA319" s="26" t="str">
        <f t="shared" si="29"/>
        <v>05</v>
      </c>
      <c r="AB319" s="26" t="str">
        <f t="shared" si="27"/>
        <v>2024</v>
      </c>
    </row>
    <row r="320" spans="1:28" x14ac:dyDescent="0.25">
      <c r="A320" s="30">
        <v>45415</v>
      </c>
      <c r="B320" s="26" t="s">
        <v>869</v>
      </c>
      <c r="C320" s="26" t="s">
        <v>2</v>
      </c>
      <c r="D320" s="26" t="s">
        <v>870</v>
      </c>
      <c r="E320" s="26"/>
      <c r="G320" s="26"/>
      <c r="H320" s="26"/>
      <c r="I320" s="26"/>
      <c r="J320" s="30"/>
      <c r="K320" s="26"/>
      <c r="M320" s="30"/>
      <c r="O320" s="26"/>
      <c r="P320" s="31"/>
      <c r="Q320" s="31"/>
      <c r="R320" s="26"/>
      <c r="S320" s="26"/>
      <c r="T320" s="31"/>
      <c r="U320" s="26"/>
      <c r="V320" s="26">
        <f t="shared" si="24"/>
        <v>1</v>
      </c>
      <c r="W320" s="26">
        <f t="shared" si="28"/>
        <v>0</v>
      </c>
      <c r="X320" s="26">
        <f>Data_Base[[#This Row],[B.N Total]]-Data_Base[[#This Row],[Nbre Brachements exécuté]]</f>
        <v>1</v>
      </c>
      <c r="Y320" s="26" t="str">
        <f t="shared" si="25"/>
        <v>vendredi</v>
      </c>
      <c r="Z320" s="26" t="str">
        <f t="shared" si="26"/>
        <v>03</v>
      </c>
      <c r="AA320" s="26" t="str">
        <f t="shared" si="29"/>
        <v>05</v>
      </c>
      <c r="AB320" s="26" t="str">
        <f t="shared" si="27"/>
        <v>2024</v>
      </c>
    </row>
    <row r="321" spans="1:28" x14ac:dyDescent="0.25">
      <c r="A321" s="30">
        <v>45415</v>
      </c>
      <c r="B321" s="26" t="s">
        <v>871</v>
      </c>
      <c r="C321" s="26" t="s">
        <v>2</v>
      </c>
      <c r="D321" s="26" t="s">
        <v>872</v>
      </c>
      <c r="E321" s="26"/>
      <c r="G321" s="26"/>
      <c r="H321" s="26"/>
      <c r="I321" s="26"/>
      <c r="J321" s="30"/>
      <c r="K321" s="26"/>
      <c r="M321" s="30"/>
      <c r="O321" s="26"/>
      <c r="P321" s="31"/>
      <c r="Q321" s="31"/>
      <c r="R321" s="26"/>
      <c r="S321" s="26"/>
      <c r="T321" s="31"/>
      <c r="U321" s="26"/>
      <c r="V321" s="26">
        <f t="shared" si="24"/>
        <v>1</v>
      </c>
      <c r="W321" s="26">
        <f t="shared" si="28"/>
        <v>0</v>
      </c>
      <c r="X321" s="26">
        <f>Data_Base[[#This Row],[B.N Total]]-Data_Base[[#This Row],[Nbre Brachements exécuté]]</f>
        <v>1</v>
      </c>
      <c r="Y321" s="26" t="str">
        <f t="shared" si="25"/>
        <v>vendredi</v>
      </c>
      <c r="Z321" s="26" t="str">
        <f t="shared" si="26"/>
        <v>03</v>
      </c>
      <c r="AA321" s="26" t="str">
        <f t="shared" si="29"/>
        <v>05</v>
      </c>
      <c r="AB321" s="26" t="str">
        <f t="shared" si="27"/>
        <v>2024</v>
      </c>
    </row>
    <row r="322" spans="1:28" x14ac:dyDescent="0.25">
      <c r="A322" s="30">
        <v>45415</v>
      </c>
      <c r="B322" s="26" t="s">
        <v>873</v>
      </c>
      <c r="C322" s="26" t="s">
        <v>2</v>
      </c>
      <c r="D322" s="26" t="s">
        <v>874</v>
      </c>
      <c r="E322" s="26"/>
      <c r="F322" s="28">
        <v>677531238</v>
      </c>
      <c r="G322" s="26" t="s">
        <v>160</v>
      </c>
      <c r="H322" s="26" t="s">
        <v>344</v>
      </c>
      <c r="I322" s="26" t="s">
        <v>556</v>
      </c>
      <c r="J322" s="30">
        <v>45422</v>
      </c>
      <c r="K322" s="26" t="s">
        <v>546</v>
      </c>
      <c r="M322" s="30"/>
      <c r="O322" s="26"/>
      <c r="P322" s="31"/>
      <c r="Q322" s="31"/>
      <c r="R322" s="26"/>
      <c r="S322" s="26"/>
      <c r="T322" s="31"/>
      <c r="U322" s="26"/>
      <c r="V322" s="26">
        <f t="shared" ref="V322:V385" si="30">COUNTA(B322)</f>
        <v>1</v>
      </c>
      <c r="W322" s="26">
        <f t="shared" si="28"/>
        <v>0</v>
      </c>
      <c r="X322" s="26">
        <f>Data_Base[[#This Row],[B.N Total]]-Data_Base[[#This Row],[Nbre Brachements exécuté]]</f>
        <v>1</v>
      </c>
      <c r="Y322" s="26" t="str">
        <f t="shared" ref="Y322:Y385" si="31">IF(A322=""," ",TEXT(A322,"jjjj"))</f>
        <v>vendredi</v>
      </c>
      <c r="Z322" s="26" t="str">
        <f t="shared" ref="Z322:Z385" si="32">IF(A322="","",TEXT(A322,"jj"))</f>
        <v>03</v>
      </c>
      <c r="AA322" s="26" t="str">
        <f t="shared" si="29"/>
        <v>05</v>
      </c>
      <c r="AB322" s="26" t="str">
        <f t="shared" ref="AB322:AB385" si="33">IF(A322=""," ",TEXT(A322,"aaaa"))</f>
        <v>2024</v>
      </c>
    </row>
    <row r="323" spans="1:28" x14ac:dyDescent="0.25">
      <c r="A323" s="30">
        <v>45415</v>
      </c>
      <c r="B323" s="26" t="s">
        <v>875</v>
      </c>
      <c r="C323" s="26" t="s">
        <v>2</v>
      </c>
      <c r="D323" s="26" t="s">
        <v>876</v>
      </c>
      <c r="E323" s="26" t="s">
        <v>142</v>
      </c>
      <c r="F323" s="28">
        <v>699139381</v>
      </c>
      <c r="G323" s="26" t="s">
        <v>160</v>
      </c>
      <c r="H323" s="26" t="s">
        <v>161</v>
      </c>
      <c r="I323" s="26" t="s">
        <v>586</v>
      </c>
      <c r="J323" s="30">
        <v>45419</v>
      </c>
      <c r="K323" s="26" t="s">
        <v>546</v>
      </c>
      <c r="L323" s="26" t="s">
        <v>877</v>
      </c>
      <c r="M323" s="30">
        <v>45419</v>
      </c>
      <c r="N323" s="26" t="s">
        <v>877</v>
      </c>
      <c r="O323" s="26" t="s">
        <v>582</v>
      </c>
      <c r="P323" s="31">
        <v>15</v>
      </c>
      <c r="Q323" s="31"/>
      <c r="R323" s="26"/>
      <c r="S323" s="26"/>
      <c r="T323" s="31"/>
      <c r="U323" s="26"/>
      <c r="V323" s="26">
        <f t="shared" si="30"/>
        <v>1</v>
      </c>
      <c r="W323" s="26">
        <f t="shared" ref="W323:W386" si="34">COUNTA(N323)</f>
        <v>1</v>
      </c>
      <c r="X323" s="26">
        <f>Data_Base[[#This Row],[B.N Total]]-Data_Base[[#This Row],[Nbre Brachements exécuté]]</f>
        <v>0</v>
      </c>
      <c r="Y323" s="26" t="str">
        <f t="shared" si="31"/>
        <v>vendredi</v>
      </c>
      <c r="Z323" s="26" t="str">
        <f t="shared" si="32"/>
        <v>03</v>
      </c>
      <c r="AA323" s="26" t="str">
        <f t="shared" ref="AA323:AA386" si="35">IF(A323=""," ",TEXT(A323,"mm"))</f>
        <v>05</v>
      </c>
      <c r="AB323" s="26" t="str">
        <f t="shared" si="33"/>
        <v>2024</v>
      </c>
    </row>
    <row r="324" spans="1:28" x14ac:dyDescent="0.25">
      <c r="A324" s="30">
        <v>45415</v>
      </c>
      <c r="B324" s="26" t="s">
        <v>875</v>
      </c>
      <c r="C324" s="26" t="s">
        <v>2</v>
      </c>
      <c r="D324" s="26" t="s">
        <v>878</v>
      </c>
      <c r="E324" s="26" t="s">
        <v>142</v>
      </c>
      <c r="F324" s="28">
        <v>699139381</v>
      </c>
      <c r="G324" s="26" t="s">
        <v>160</v>
      </c>
      <c r="H324" s="26" t="s">
        <v>161</v>
      </c>
      <c r="I324" s="26" t="s">
        <v>586</v>
      </c>
      <c r="J324" s="30">
        <v>45419</v>
      </c>
      <c r="K324" s="26" t="s">
        <v>546</v>
      </c>
      <c r="L324" s="26" t="s">
        <v>879</v>
      </c>
      <c r="M324" s="30">
        <v>45419</v>
      </c>
      <c r="N324" s="26" t="s">
        <v>879</v>
      </c>
      <c r="O324" s="26" t="s">
        <v>582</v>
      </c>
      <c r="P324" s="31">
        <v>15</v>
      </c>
      <c r="Q324" s="31"/>
      <c r="R324" s="26"/>
      <c r="S324" s="26"/>
      <c r="T324" s="31"/>
      <c r="U324" s="26"/>
      <c r="V324" s="26">
        <f t="shared" si="30"/>
        <v>1</v>
      </c>
      <c r="W324" s="26">
        <f t="shared" si="34"/>
        <v>1</v>
      </c>
      <c r="X324" s="26">
        <f>Data_Base[[#This Row],[B.N Total]]-Data_Base[[#This Row],[Nbre Brachements exécuté]]</f>
        <v>0</v>
      </c>
      <c r="Y324" s="26" t="str">
        <f t="shared" si="31"/>
        <v>vendredi</v>
      </c>
      <c r="Z324" s="26" t="str">
        <f t="shared" si="32"/>
        <v>03</v>
      </c>
      <c r="AA324" s="26" t="str">
        <f t="shared" si="35"/>
        <v>05</v>
      </c>
      <c r="AB324" s="26" t="str">
        <f t="shared" si="33"/>
        <v>2024</v>
      </c>
    </row>
    <row r="325" spans="1:28" x14ac:dyDescent="0.25">
      <c r="A325" s="30">
        <v>45415</v>
      </c>
      <c r="B325" s="26" t="s">
        <v>875</v>
      </c>
      <c r="C325" s="26" t="s">
        <v>2</v>
      </c>
      <c r="D325" s="26" t="s">
        <v>880</v>
      </c>
      <c r="E325" s="26" t="s">
        <v>142</v>
      </c>
      <c r="F325" s="28">
        <v>699139381</v>
      </c>
      <c r="G325" s="26" t="s">
        <v>160</v>
      </c>
      <c r="H325" s="26" t="s">
        <v>161</v>
      </c>
      <c r="I325" s="26" t="s">
        <v>586</v>
      </c>
      <c r="J325" s="30">
        <v>45419</v>
      </c>
      <c r="K325" s="26" t="s">
        <v>546</v>
      </c>
      <c r="L325" s="26" t="s">
        <v>881</v>
      </c>
      <c r="M325" s="30">
        <v>45419</v>
      </c>
      <c r="N325" s="26" t="s">
        <v>881</v>
      </c>
      <c r="O325" s="26" t="s">
        <v>582</v>
      </c>
      <c r="P325" s="31">
        <v>15</v>
      </c>
      <c r="Q325" s="31"/>
      <c r="R325" s="26"/>
      <c r="S325" s="26"/>
      <c r="T325" s="31"/>
      <c r="U325" s="26"/>
      <c r="V325" s="26">
        <f t="shared" si="30"/>
        <v>1</v>
      </c>
      <c r="W325" s="26">
        <f t="shared" si="34"/>
        <v>1</v>
      </c>
      <c r="X325" s="26">
        <f>Data_Base[[#This Row],[B.N Total]]-Data_Base[[#This Row],[Nbre Brachements exécuté]]</f>
        <v>0</v>
      </c>
      <c r="Y325" s="26" t="str">
        <f t="shared" si="31"/>
        <v>vendredi</v>
      </c>
      <c r="Z325" s="26" t="str">
        <f t="shared" si="32"/>
        <v>03</v>
      </c>
      <c r="AA325" s="26" t="str">
        <f t="shared" si="35"/>
        <v>05</v>
      </c>
      <c r="AB325" s="26" t="str">
        <f t="shared" si="33"/>
        <v>2024</v>
      </c>
    </row>
    <row r="326" spans="1:28" x14ac:dyDescent="0.25">
      <c r="A326" s="30">
        <v>45415</v>
      </c>
      <c r="B326" s="26" t="s">
        <v>875</v>
      </c>
      <c r="C326" s="26" t="s">
        <v>2</v>
      </c>
      <c r="D326" s="26" t="s">
        <v>882</v>
      </c>
      <c r="E326" s="26" t="s">
        <v>142</v>
      </c>
      <c r="F326" s="28">
        <v>699139381</v>
      </c>
      <c r="G326" s="26" t="s">
        <v>160</v>
      </c>
      <c r="H326" s="26" t="s">
        <v>161</v>
      </c>
      <c r="I326" s="26" t="s">
        <v>586</v>
      </c>
      <c r="J326" s="30">
        <v>45419</v>
      </c>
      <c r="K326" s="26" t="s">
        <v>546</v>
      </c>
      <c r="L326" s="26" t="s">
        <v>883</v>
      </c>
      <c r="M326" s="30">
        <v>45419</v>
      </c>
      <c r="N326" s="26" t="s">
        <v>883</v>
      </c>
      <c r="O326" s="26" t="s">
        <v>582</v>
      </c>
      <c r="P326" s="31">
        <v>15</v>
      </c>
      <c r="Q326" s="31"/>
      <c r="R326" s="26"/>
      <c r="S326" s="26"/>
      <c r="T326" s="31"/>
      <c r="U326" s="26"/>
      <c r="V326" s="26">
        <f t="shared" si="30"/>
        <v>1</v>
      </c>
      <c r="W326" s="26">
        <f t="shared" si="34"/>
        <v>1</v>
      </c>
      <c r="X326" s="26">
        <f>Data_Base[[#This Row],[B.N Total]]-Data_Base[[#This Row],[Nbre Brachements exécuté]]</f>
        <v>0</v>
      </c>
      <c r="Y326" s="26" t="str">
        <f t="shared" si="31"/>
        <v>vendredi</v>
      </c>
      <c r="Z326" s="26" t="str">
        <f t="shared" si="32"/>
        <v>03</v>
      </c>
      <c r="AA326" s="26" t="str">
        <f t="shared" si="35"/>
        <v>05</v>
      </c>
      <c r="AB326" s="26" t="str">
        <f t="shared" si="33"/>
        <v>2024</v>
      </c>
    </row>
    <row r="327" spans="1:28" x14ac:dyDescent="0.25">
      <c r="A327" s="30">
        <v>45415</v>
      </c>
      <c r="B327" s="26" t="s">
        <v>875</v>
      </c>
      <c r="C327" s="26" t="s">
        <v>2</v>
      </c>
      <c r="D327" s="26" t="s">
        <v>884</v>
      </c>
      <c r="E327" s="26" t="s">
        <v>142</v>
      </c>
      <c r="F327" s="28">
        <v>699139381</v>
      </c>
      <c r="G327" s="26" t="s">
        <v>160</v>
      </c>
      <c r="H327" s="26" t="s">
        <v>161</v>
      </c>
      <c r="I327" s="26" t="s">
        <v>586</v>
      </c>
      <c r="J327" s="30">
        <v>45419</v>
      </c>
      <c r="K327" s="26" t="s">
        <v>546</v>
      </c>
      <c r="L327" s="26" t="s">
        <v>885</v>
      </c>
      <c r="M327" s="30">
        <v>45419</v>
      </c>
      <c r="N327" s="26" t="s">
        <v>885</v>
      </c>
      <c r="O327" s="26" t="s">
        <v>582</v>
      </c>
      <c r="P327" s="31">
        <v>30</v>
      </c>
      <c r="Q327" s="31"/>
      <c r="R327" s="26"/>
      <c r="S327" s="26"/>
      <c r="T327" s="31"/>
      <c r="U327" s="26"/>
      <c r="V327" s="26">
        <f t="shared" si="30"/>
        <v>1</v>
      </c>
      <c r="W327" s="26">
        <f t="shared" si="34"/>
        <v>1</v>
      </c>
      <c r="X327" s="26">
        <f>Data_Base[[#This Row],[B.N Total]]-Data_Base[[#This Row],[Nbre Brachements exécuté]]</f>
        <v>0</v>
      </c>
      <c r="Y327" s="26" t="str">
        <f t="shared" si="31"/>
        <v>vendredi</v>
      </c>
      <c r="Z327" s="26" t="str">
        <f t="shared" si="32"/>
        <v>03</v>
      </c>
      <c r="AA327" s="26" t="str">
        <f t="shared" si="35"/>
        <v>05</v>
      </c>
      <c r="AB327" s="26" t="str">
        <f t="shared" si="33"/>
        <v>2024</v>
      </c>
    </row>
    <row r="328" spans="1:28" x14ac:dyDescent="0.25">
      <c r="A328" s="30">
        <v>45415</v>
      </c>
      <c r="B328" s="26" t="s">
        <v>886</v>
      </c>
      <c r="C328" s="26" t="s">
        <v>2</v>
      </c>
      <c r="D328" s="26" t="s">
        <v>887</v>
      </c>
      <c r="E328" s="26"/>
      <c r="G328" s="26"/>
      <c r="H328" s="26"/>
      <c r="I328" s="26"/>
      <c r="J328" s="30"/>
      <c r="K328" s="26"/>
      <c r="M328" s="30"/>
      <c r="O328" s="26"/>
      <c r="P328" s="31"/>
      <c r="Q328" s="31"/>
      <c r="R328" s="26"/>
      <c r="S328" s="26"/>
      <c r="T328" s="31"/>
      <c r="U328" s="26"/>
      <c r="V328" s="26">
        <f t="shared" si="30"/>
        <v>1</v>
      </c>
      <c r="W328" s="26">
        <f t="shared" si="34"/>
        <v>0</v>
      </c>
      <c r="X328" s="26">
        <f>Data_Base[[#This Row],[B.N Total]]-Data_Base[[#This Row],[Nbre Brachements exécuté]]</f>
        <v>1</v>
      </c>
      <c r="Y328" s="26" t="str">
        <f t="shared" si="31"/>
        <v>vendredi</v>
      </c>
      <c r="Z328" s="26" t="str">
        <f t="shared" si="32"/>
        <v>03</v>
      </c>
      <c r="AA328" s="26" t="str">
        <f t="shared" si="35"/>
        <v>05</v>
      </c>
      <c r="AB328" s="26" t="str">
        <f t="shared" si="33"/>
        <v>2024</v>
      </c>
    </row>
    <row r="329" spans="1:28" x14ac:dyDescent="0.25">
      <c r="A329" s="30">
        <v>45415</v>
      </c>
      <c r="B329" s="26" t="s">
        <v>888</v>
      </c>
      <c r="C329" s="26" t="s">
        <v>2</v>
      </c>
      <c r="D329" s="26" t="s">
        <v>889</v>
      </c>
      <c r="E329" s="26"/>
      <c r="G329" s="26"/>
      <c r="H329" s="26"/>
      <c r="I329" s="26"/>
      <c r="J329" s="30"/>
      <c r="K329" s="26"/>
      <c r="M329" s="30"/>
      <c r="O329" s="26"/>
      <c r="P329" s="31"/>
      <c r="Q329" s="31"/>
      <c r="R329" s="26"/>
      <c r="S329" s="26"/>
      <c r="T329" s="31"/>
      <c r="U329" s="26"/>
      <c r="V329" s="26">
        <f t="shared" si="30"/>
        <v>1</v>
      </c>
      <c r="W329" s="26">
        <f t="shared" si="34"/>
        <v>0</v>
      </c>
      <c r="X329" s="26">
        <f>Data_Base[[#This Row],[B.N Total]]-Data_Base[[#This Row],[Nbre Brachements exécuté]]</f>
        <v>1</v>
      </c>
      <c r="Y329" s="26" t="str">
        <f t="shared" si="31"/>
        <v>vendredi</v>
      </c>
      <c r="Z329" s="26" t="str">
        <f t="shared" si="32"/>
        <v>03</v>
      </c>
      <c r="AA329" s="26" t="str">
        <f t="shared" si="35"/>
        <v>05</v>
      </c>
      <c r="AB329" s="26" t="str">
        <f t="shared" si="33"/>
        <v>2024</v>
      </c>
    </row>
    <row r="330" spans="1:28" x14ac:dyDescent="0.25">
      <c r="A330" s="30">
        <v>45415</v>
      </c>
      <c r="B330" s="26" t="s">
        <v>890</v>
      </c>
      <c r="C330" s="26" t="s">
        <v>2</v>
      </c>
      <c r="D330" s="26" t="s">
        <v>891</v>
      </c>
      <c r="E330" s="26"/>
      <c r="F330" s="28">
        <v>691712940</v>
      </c>
      <c r="G330" s="26" t="s">
        <v>160</v>
      </c>
      <c r="H330" s="26" t="s">
        <v>325</v>
      </c>
      <c r="I330" s="26" t="s">
        <v>579</v>
      </c>
      <c r="J330" s="30">
        <v>45425</v>
      </c>
      <c r="K330" s="26"/>
      <c r="M330" s="30"/>
      <c r="O330" s="26"/>
      <c r="P330" s="31"/>
      <c r="Q330" s="31"/>
      <c r="R330" s="26"/>
      <c r="S330" s="26"/>
      <c r="T330" s="31"/>
      <c r="U330" s="26"/>
      <c r="V330" s="26">
        <f t="shared" si="30"/>
        <v>1</v>
      </c>
      <c r="W330" s="26">
        <f t="shared" si="34"/>
        <v>0</v>
      </c>
      <c r="X330" s="26">
        <f>Data_Base[[#This Row],[B.N Total]]-Data_Base[[#This Row],[Nbre Brachements exécuté]]</f>
        <v>1</v>
      </c>
      <c r="Y330" s="26" t="str">
        <f t="shared" si="31"/>
        <v>vendredi</v>
      </c>
      <c r="Z330" s="26" t="str">
        <f t="shared" si="32"/>
        <v>03</v>
      </c>
      <c r="AA330" s="26" t="str">
        <f t="shared" si="35"/>
        <v>05</v>
      </c>
      <c r="AB330" s="26" t="str">
        <f t="shared" si="33"/>
        <v>2024</v>
      </c>
    </row>
    <row r="331" spans="1:28" x14ac:dyDescent="0.25">
      <c r="A331" s="30">
        <v>45415</v>
      </c>
      <c r="B331" s="26" t="s">
        <v>892</v>
      </c>
      <c r="C331" s="26" t="s">
        <v>2</v>
      </c>
      <c r="D331" s="26" t="s">
        <v>893</v>
      </c>
      <c r="E331" s="26"/>
      <c r="F331" s="28">
        <v>656089056</v>
      </c>
      <c r="G331" s="26" t="s">
        <v>160</v>
      </c>
      <c r="H331" s="26" t="s">
        <v>344</v>
      </c>
      <c r="I331" s="26" t="s">
        <v>556</v>
      </c>
      <c r="J331" s="30">
        <v>45422</v>
      </c>
      <c r="K331" s="26"/>
      <c r="M331" s="30"/>
      <c r="O331" s="26"/>
      <c r="P331" s="31"/>
      <c r="Q331" s="31"/>
      <c r="R331" s="26"/>
      <c r="S331" s="26"/>
      <c r="T331" s="31"/>
      <c r="U331" s="26"/>
      <c r="V331" s="26">
        <f t="shared" si="30"/>
        <v>1</v>
      </c>
      <c r="W331" s="26">
        <f t="shared" si="34"/>
        <v>0</v>
      </c>
      <c r="X331" s="26">
        <f>Data_Base[[#This Row],[B.N Total]]-Data_Base[[#This Row],[Nbre Brachements exécuté]]</f>
        <v>1</v>
      </c>
      <c r="Y331" s="26" t="str">
        <f t="shared" si="31"/>
        <v>vendredi</v>
      </c>
      <c r="Z331" s="26" t="str">
        <f t="shared" si="32"/>
        <v>03</v>
      </c>
      <c r="AA331" s="26" t="str">
        <f t="shared" si="35"/>
        <v>05</v>
      </c>
      <c r="AB331" s="26" t="str">
        <f t="shared" si="33"/>
        <v>2024</v>
      </c>
    </row>
    <row r="332" spans="1:28" x14ac:dyDescent="0.25">
      <c r="A332" s="30">
        <v>45415</v>
      </c>
      <c r="B332" s="26" t="s">
        <v>892</v>
      </c>
      <c r="C332" s="26" t="s">
        <v>2</v>
      </c>
      <c r="D332" s="26" t="s">
        <v>894</v>
      </c>
      <c r="E332" s="26"/>
      <c r="F332" s="28">
        <v>656089056</v>
      </c>
      <c r="G332" s="26" t="s">
        <v>160</v>
      </c>
      <c r="H332" s="26" t="s">
        <v>344</v>
      </c>
      <c r="I332" s="26" t="s">
        <v>556</v>
      </c>
      <c r="J332" s="30">
        <v>45422</v>
      </c>
      <c r="K332" s="26"/>
      <c r="M332" s="30"/>
      <c r="O332" s="26"/>
      <c r="P332" s="31"/>
      <c r="Q332" s="31"/>
      <c r="R332" s="26"/>
      <c r="S332" s="26"/>
      <c r="T332" s="31"/>
      <c r="U332" s="26"/>
      <c r="V332" s="26">
        <f t="shared" si="30"/>
        <v>1</v>
      </c>
      <c r="W332" s="26">
        <f t="shared" si="34"/>
        <v>0</v>
      </c>
      <c r="X332" s="26">
        <f>Data_Base[[#This Row],[B.N Total]]-Data_Base[[#This Row],[Nbre Brachements exécuté]]</f>
        <v>1</v>
      </c>
      <c r="Y332" s="26" t="str">
        <f t="shared" si="31"/>
        <v>vendredi</v>
      </c>
      <c r="Z332" s="26" t="str">
        <f t="shared" si="32"/>
        <v>03</v>
      </c>
      <c r="AA332" s="26" t="str">
        <f t="shared" si="35"/>
        <v>05</v>
      </c>
      <c r="AB332" s="26" t="str">
        <f t="shared" si="33"/>
        <v>2024</v>
      </c>
    </row>
    <row r="333" spans="1:28" x14ac:dyDescent="0.25">
      <c r="A333" s="30">
        <v>45415</v>
      </c>
      <c r="B333" s="26" t="s">
        <v>892</v>
      </c>
      <c r="C333" s="26" t="s">
        <v>2</v>
      </c>
      <c r="D333" s="26" t="s">
        <v>895</v>
      </c>
      <c r="E333" s="26"/>
      <c r="F333" s="28">
        <v>656089056</v>
      </c>
      <c r="G333" s="26" t="s">
        <v>160</v>
      </c>
      <c r="H333" s="26" t="s">
        <v>344</v>
      </c>
      <c r="I333" s="26" t="s">
        <v>556</v>
      </c>
      <c r="J333" s="30">
        <v>45422</v>
      </c>
      <c r="K333" s="26"/>
      <c r="M333" s="30"/>
      <c r="O333" s="26"/>
      <c r="P333" s="31"/>
      <c r="Q333" s="31"/>
      <c r="R333" s="26"/>
      <c r="S333" s="26"/>
      <c r="T333" s="31"/>
      <c r="U333" s="26"/>
      <c r="V333" s="26">
        <f t="shared" si="30"/>
        <v>1</v>
      </c>
      <c r="W333" s="26">
        <f t="shared" si="34"/>
        <v>0</v>
      </c>
      <c r="X333" s="26">
        <f>Data_Base[[#This Row],[B.N Total]]-Data_Base[[#This Row],[Nbre Brachements exécuté]]</f>
        <v>1</v>
      </c>
      <c r="Y333" s="26" t="str">
        <f t="shared" si="31"/>
        <v>vendredi</v>
      </c>
      <c r="Z333" s="26" t="str">
        <f t="shared" si="32"/>
        <v>03</v>
      </c>
      <c r="AA333" s="26" t="str">
        <f t="shared" si="35"/>
        <v>05</v>
      </c>
      <c r="AB333" s="26" t="str">
        <f t="shared" si="33"/>
        <v>2024</v>
      </c>
    </row>
    <row r="334" spans="1:28" x14ac:dyDescent="0.25">
      <c r="A334" s="30">
        <v>45415</v>
      </c>
      <c r="B334" s="26" t="s">
        <v>896</v>
      </c>
      <c r="C334" s="26" t="s">
        <v>2</v>
      </c>
      <c r="D334" s="26" t="s">
        <v>897</v>
      </c>
      <c r="E334" s="26"/>
      <c r="F334" s="28">
        <v>674762605</v>
      </c>
      <c r="G334" s="26" t="s">
        <v>160</v>
      </c>
      <c r="H334" s="26" t="s">
        <v>344</v>
      </c>
      <c r="I334" s="26" t="s">
        <v>556</v>
      </c>
      <c r="J334" s="30">
        <v>45420</v>
      </c>
      <c r="K334" s="26" t="s">
        <v>546</v>
      </c>
      <c r="L334" s="26" t="s">
        <v>898</v>
      </c>
      <c r="M334" s="30">
        <v>45420</v>
      </c>
      <c r="N334" s="26" t="s">
        <v>898</v>
      </c>
      <c r="O334" s="26" t="s">
        <v>582</v>
      </c>
      <c r="P334" s="31">
        <v>15</v>
      </c>
      <c r="Q334" s="31">
        <v>10</v>
      </c>
      <c r="R334" s="26" t="s">
        <v>547</v>
      </c>
      <c r="S334" s="26"/>
      <c r="T334" s="31"/>
      <c r="U334" s="26"/>
      <c r="V334" s="26">
        <f t="shared" si="30"/>
        <v>1</v>
      </c>
      <c r="W334" s="26">
        <f t="shared" si="34"/>
        <v>1</v>
      </c>
      <c r="X334" s="26">
        <f>Data_Base[[#This Row],[B.N Total]]-Data_Base[[#This Row],[Nbre Brachements exécuté]]</f>
        <v>0</v>
      </c>
      <c r="Y334" s="26" t="str">
        <f t="shared" si="31"/>
        <v>vendredi</v>
      </c>
      <c r="Z334" s="26" t="str">
        <f t="shared" si="32"/>
        <v>03</v>
      </c>
      <c r="AA334" s="26" t="str">
        <f t="shared" si="35"/>
        <v>05</v>
      </c>
      <c r="AB334" s="26" t="str">
        <f t="shared" si="33"/>
        <v>2024</v>
      </c>
    </row>
    <row r="335" spans="1:28" x14ac:dyDescent="0.25">
      <c r="A335" s="30">
        <v>45415</v>
      </c>
      <c r="B335" s="26" t="s">
        <v>896</v>
      </c>
      <c r="C335" s="26" t="s">
        <v>2</v>
      </c>
      <c r="D335" s="26" t="s">
        <v>899</v>
      </c>
      <c r="E335" s="26"/>
      <c r="F335" s="28">
        <v>674762605</v>
      </c>
      <c r="G335" s="26" t="s">
        <v>160</v>
      </c>
      <c r="H335" s="26" t="s">
        <v>344</v>
      </c>
      <c r="I335" s="26" t="s">
        <v>556</v>
      </c>
      <c r="J335" s="30">
        <v>45420</v>
      </c>
      <c r="K335" s="26" t="s">
        <v>546</v>
      </c>
      <c r="L335" s="26" t="s">
        <v>900</v>
      </c>
      <c r="M335" s="30">
        <v>45420</v>
      </c>
      <c r="N335" s="26" t="s">
        <v>900</v>
      </c>
      <c r="O335" s="26" t="s">
        <v>582</v>
      </c>
      <c r="P335" s="31">
        <v>15</v>
      </c>
      <c r="Q335" s="31">
        <v>10</v>
      </c>
      <c r="R335" s="26" t="s">
        <v>547</v>
      </c>
      <c r="S335" s="26"/>
      <c r="T335" s="31"/>
      <c r="U335" s="26"/>
      <c r="V335" s="26">
        <f t="shared" si="30"/>
        <v>1</v>
      </c>
      <c r="W335" s="26">
        <f t="shared" si="34"/>
        <v>1</v>
      </c>
      <c r="X335" s="26">
        <f>Data_Base[[#This Row],[B.N Total]]-Data_Base[[#This Row],[Nbre Brachements exécuté]]</f>
        <v>0</v>
      </c>
      <c r="Y335" s="26" t="str">
        <f t="shared" si="31"/>
        <v>vendredi</v>
      </c>
      <c r="Z335" s="26" t="str">
        <f t="shared" si="32"/>
        <v>03</v>
      </c>
      <c r="AA335" s="26" t="str">
        <f t="shared" si="35"/>
        <v>05</v>
      </c>
      <c r="AB335" s="26" t="str">
        <f t="shared" si="33"/>
        <v>2024</v>
      </c>
    </row>
    <row r="336" spans="1:28" x14ac:dyDescent="0.25">
      <c r="A336" s="30">
        <v>45415</v>
      </c>
      <c r="B336" s="26" t="s">
        <v>896</v>
      </c>
      <c r="C336" s="26" t="s">
        <v>2</v>
      </c>
      <c r="D336" s="26" t="s">
        <v>901</v>
      </c>
      <c r="E336" s="26"/>
      <c r="F336" s="28">
        <v>674762605</v>
      </c>
      <c r="G336" s="26" t="s">
        <v>160</v>
      </c>
      <c r="H336" s="26" t="s">
        <v>344</v>
      </c>
      <c r="I336" s="26" t="s">
        <v>556</v>
      </c>
      <c r="J336" s="30">
        <v>45420</v>
      </c>
      <c r="K336" s="26" t="s">
        <v>546</v>
      </c>
      <c r="L336" s="26" t="s">
        <v>902</v>
      </c>
      <c r="M336" s="30">
        <v>45420</v>
      </c>
      <c r="N336" s="26" t="s">
        <v>902</v>
      </c>
      <c r="O336" s="26" t="s">
        <v>582</v>
      </c>
      <c r="P336" s="31">
        <v>15</v>
      </c>
      <c r="Q336" s="31">
        <v>10</v>
      </c>
      <c r="R336" s="26" t="s">
        <v>547</v>
      </c>
      <c r="S336" s="26"/>
      <c r="T336" s="31"/>
      <c r="U336" s="26"/>
      <c r="V336" s="26">
        <f t="shared" si="30"/>
        <v>1</v>
      </c>
      <c r="W336" s="26">
        <f t="shared" si="34"/>
        <v>1</v>
      </c>
      <c r="X336" s="26">
        <f>Data_Base[[#This Row],[B.N Total]]-Data_Base[[#This Row],[Nbre Brachements exécuté]]</f>
        <v>0</v>
      </c>
      <c r="Y336" s="26" t="str">
        <f t="shared" si="31"/>
        <v>vendredi</v>
      </c>
      <c r="Z336" s="26" t="str">
        <f t="shared" si="32"/>
        <v>03</v>
      </c>
      <c r="AA336" s="26" t="str">
        <f t="shared" si="35"/>
        <v>05</v>
      </c>
      <c r="AB336" s="26" t="str">
        <f t="shared" si="33"/>
        <v>2024</v>
      </c>
    </row>
    <row r="337" spans="1:28" x14ac:dyDescent="0.25">
      <c r="A337" s="30">
        <v>45415</v>
      </c>
      <c r="B337" s="26" t="s">
        <v>896</v>
      </c>
      <c r="C337" s="26" t="s">
        <v>2</v>
      </c>
      <c r="D337" s="26" t="s">
        <v>903</v>
      </c>
      <c r="E337" s="26"/>
      <c r="F337" s="28">
        <v>674762605</v>
      </c>
      <c r="G337" s="26" t="s">
        <v>160</v>
      </c>
      <c r="H337" s="26" t="s">
        <v>344</v>
      </c>
      <c r="I337" s="26" t="s">
        <v>556</v>
      </c>
      <c r="J337" s="30">
        <v>45420</v>
      </c>
      <c r="K337" s="26" t="s">
        <v>546</v>
      </c>
      <c r="L337" s="26" t="s">
        <v>904</v>
      </c>
      <c r="M337" s="30">
        <v>45420</v>
      </c>
      <c r="N337" s="26" t="s">
        <v>904</v>
      </c>
      <c r="O337" s="26" t="s">
        <v>582</v>
      </c>
      <c r="P337" s="31">
        <v>15</v>
      </c>
      <c r="Q337" s="31">
        <v>10</v>
      </c>
      <c r="R337" s="26" t="s">
        <v>547</v>
      </c>
      <c r="S337" s="26"/>
      <c r="T337" s="31"/>
      <c r="U337" s="26"/>
      <c r="V337" s="26">
        <f t="shared" si="30"/>
        <v>1</v>
      </c>
      <c r="W337" s="26">
        <f t="shared" si="34"/>
        <v>1</v>
      </c>
      <c r="X337" s="26">
        <f>Data_Base[[#This Row],[B.N Total]]-Data_Base[[#This Row],[Nbre Brachements exécuté]]</f>
        <v>0</v>
      </c>
      <c r="Y337" s="26" t="str">
        <f t="shared" si="31"/>
        <v>vendredi</v>
      </c>
      <c r="Z337" s="26" t="str">
        <f t="shared" si="32"/>
        <v>03</v>
      </c>
      <c r="AA337" s="26" t="str">
        <f t="shared" si="35"/>
        <v>05</v>
      </c>
      <c r="AB337" s="26" t="str">
        <f t="shared" si="33"/>
        <v>2024</v>
      </c>
    </row>
    <row r="338" spans="1:28" x14ac:dyDescent="0.25">
      <c r="A338" s="30">
        <v>45415</v>
      </c>
      <c r="B338" s="26" t="s">
        <v>905</v>
      </c>
      <c r="C338" s="26" t="s">
        <v>2</v>
      </c>
      <c r="D338" s="26" t="s">
        <v>906</v>
      </c>
      <c r="E338" s="26"/>
      <c r="G338" s="26"/>
      <c r="H338" s="26"/>
      <c r="I338" s="26"/>
      <c r="J338" s="30"/>
      <c r="K338" s="26"/>
      <c r="M338" s="30"/>
      <c r="O338" s="26"/>
      <c r="P338" s="31"/>
      <c r="Q338" s="31"/>
      <c r="R338" s="26"/>
      <c r="S338" s="26"/>
      <c r="T338" s="31"/>
      <c r="U338" s="26"/>
      <c r="V338" s="26">
        <f t="shared" si="30"/>
        <v>1</v>
      </c>
      <c r="W338" s="26">
        <f t="shared" si="34"/>
        <v>0</v>
      </c>
      <c r="X338" s="26">
        <f>Data_Base[[#This Row],[B.N Total]]-Data_Base[[#This Row],[Nbre Brachements exécuté]]</f>
        <v>1</v>
      </c>
      <c r="Y338" s="26" t="str">
        <f t="shared" si="31"/>
        <v>vendredi</v>
      </c>
      <c r="Z338" s="26" t="str">
        <f t="shared" si="32"/>
        <v>03</v>
      </c>
      <c r="AA338" s="26" t="str">
        <f t="shared" si="35"/>
        <v>05</v>
      </c>
      <c r="AB338" s="26" t="str">
        <f t="shared" si="33"/>
        <v>2024</v>
      </c>
    </row>
    <row r="339" spans="1:28" x14ac:dyDescent="0.25">
      <c r="A339" s="30">
        <v>45415</v>
      </c>
      <c r="B339" s="26" t="s">
        <v>907</v>
      </c>
      <c r="C339" s="26" t="s">
        <v>2</v>
      </c>
      <c r="D339" s="26" t="s">
        <v>908</v>
      </c>
      <c r="E339" s="26" t="s">
        <v>142</v>
      </c>
      <c r="F339" s="28">
        <v>698687208</v>
      </c>
      <c r="G339" s="26" t="s">
        <v>160</v>
      </c>
      <c r="H339" s="26" t="s">
        <v>161</v>
      </c>
      <c r="I339" s="26" t="s">
        <v>586</v>
      </c>
      <c r="J339" s="30">
        <v>45419</v>
      </c>
      <c r="K339" s="26" t="s">
        <v>546</v>
      </c>
      <c r="L339" s="26" t="s">
        <v>909</v>
      </c>
      <c r="M339" s="30">
        <v>45419</v>
      </c>
      <c r="N339" s="26" t="s">
        <v>909</v>
      </c>
      <c r="O339" s="26" t="s">
        <v>582</v>
      </c>
      <c r="P339" s="31">
        <v>15</v>
      </c>
      <c r="Q339" s="31">
        <v>10</v>
      </c>
      <c r="R339" s="26" t="s">
        <v>547</v>
      </c>
      <c r="S339" s="26"/>
      <c r="T339" s="31"/>
      <c r="U339" s="26"/>
      <c r="V339" s="26">
        <f t="shared" si="30"/>
        <v>1</v>
      </c>
      <c r="W339" s="26">
        <f t="shared" si="34"/>
        <v>1</v>
      </c>
      <c r="X339" s="26">
        <f>Data_Base[[#This Row],[B.N Total]]-Data_Base[[#This Row],[Nbre Brachements exécuté]]</f>
        <v>0</v>
      </c>
      <c r="Y339" s="26" t="str">
        <f t="shared" si="31"/>
        <v>vendredi</v>
      </c>
      <c r="Z339" s="26" t="str">
        <f t="shared" si="32"/>
        <v>03</v>
      </c>
      <c r="AA339" s="26" t="str">
        <f t="shared" si="35"/>
        <v>05</v>
      </c>
      <c r="AB339" s="26" t="str">
        <f t="shared" si="33"/>
        <v>2024</v>
      </c>
    </row>
    <row r="340" spans="1:28" x14ac:dyDescent="0.25">
      <c r="A340" s="30">
        <v>45415</v>
      </c>
      <c r="B340" s="26" t="s">
        <v>907</v>
      </c>
      <c r="C340" s="26" t="s">
        <v>2</v>
      </c>
      <c r="D340" s="26" t="s">
        <v>910</v>
      </c>
      <c r="E340" s="26" t="s">
        <v>142</v>
      </c>
      <c r="F340" s="28">
        <v>698687208</v>
      </c>
      <c r="G340" s="26" t="s">
        <v>160</v>
      </c>
      <c r="H340" s="26" t="s">
        <v>161</v>
      </c>
      <c r="I340" s="26" t="s">
        <v>586</v>
      </c>
      <c r="J340" s="30">
        <v>45419</v>
      </c>
      <c r="K340" s="26" t="s">
        <v>546</v>
      </c>
      <c r="L340" s="26" t="s">
        <v>911</v>
      </c>
      <c r="M340" s="30">
        <v>45419</v>
      </c>
      <c r="N340" s="26" t="s">
        <v>911</v>
      </c>
      <c r="O340" s="26" t="s">
        <v>582</v>
      </c>
      <c r="P340" s="31">
        <v>15</v>
      </c>
      <c r="Q340" s="31">
        <v>10</v>
      </c>
      <c r="R340" s="26" t="s">
        <v>547</v>
      </c>
      <c r="S340" s="26"/>
      <c r="T340" s="31"/>
      <c r="U340" s="26"/>
      <c r="V340" s="26">
        <f t="shared" si="30"/>
        <v>1</v>
      </c>
      <c r="W340" s="26">
        <f t="shared" si="34"/>
        <v>1</v>
      </c>
      <c r="X340" s="26">
        <f>Data_Base[[#This Row],[B.N Total]]-Data_Base[[#This Row],[Nbre Brachements exécuté]]</f>
        <v>0</v>
      </c>
      <c r="Y340" s="26" t="str">
        <f t="shared" si="31"/>
        <v>vendredi</v>
      </c>
      <c r="Z340" s="26" t="str">
        <f t="shared" si="32"/>
        <v>03</v>
      </c>
      <c r="AA340" s="26" t="str">
        <f t="shared" si="35"/>
        <v>05</v>
      </c>
      <c r="AB340" s="26" t="str">
        <f t="shared" si="33"/>
        <v>2024</v>
      </c>
    </row>
    <row r="341" spans="1:28" x14ac:dyDescent="0.25">
      <c r="A341" s="30">
        <v>45415</v>
      </c>
      <c r="B341" s="26" t="s">
        <v>907</v>
      </c>
      <c r="C341" s="26" t="s">
        <v>2</v>
      </c>
      <c r="D341" s="26" t="s">
        <v>912</v>
      </c>
      <c r="E341" s="26" t="s">
        <v>142</v>
      </c>
      <c r="F341" s="28">
        <v>698687208</v>
      </c>
      <c r="G341" s="26" t="s">
        <v>160</v>
      </c>
      <c r="H341" s="26" t="s">
        <v>161</v>
      </c>
      <c r="I341" s="26" t="s">
        <v>586</v>
      </c>
      <c r="J341" s="30">
        <v>45419</v>
      </c>
      <c r="K341" s="26" t="s">
        <v>546</v>
      </c>
      <c r="L341" s="26" t="s">
        <v>913</v>
      </c>
      <c r="M341" s="30">
        <v>45419</v>
      </c>
      <c r="N341" s="26" t="s">
        <v>913</v>
      </c>
      <c r="O341" s="26" t="s">
        <v>582</v>
      </c>
      <c r="P341" s="31">
        <v>15</v>
      </c>
      <c r="Q341" s="31">
        <v>10</v>
      </c>
      <c r="R341" s="26" t="s">
        <v>547</v>
      </c>
      <c r="S341" s="26"/>
      <c r="T341" s="31"/>
      <c r="U341" s="26"/>
      <c r="V341" s="26">
        <f t="shared" si="30"/>
        <v>1</v>
      </c>
      <c r="W341" s="26">
        <f t="shared" si="34"/>
        <v>1</v>
      </c>
      <c r="X341" s="26">
        <f>Data_Base[[#This Row],[B.N Total]]-Data_Base[[#This Row],[Nbre Brachements exécuté]]</f>
        <v>0</v>
      </c>
      <c r="Y341" s="26" t="str">
        <f t="shared" si="31"/>
        <v>vendredi</v>
      </c>
      <c r="Z341" s="26" t="str">
        <f t="shared" si="32"/>
        <v>03</v>
      </c>
      <c r="AA341" s="26" t="str">
        <f t="shared" si="35"/>
        <v>05</v>
      </c>
      <c r="AB341" s="26" t="str">
        <f t="shared" si="33"/>
        <v>2024</v>
      </c>
    </row>
    <row r="342" spans="1:28" x14ac:dyDescent="0.25">
      <c r="A342" s="30">
        <v>45415</v>
      </c>
      <c r="B342" s="26" t="s">
        <v>907</v>
      </c>
      <c r="C342" s="26" t="s">
        <v>2</v>
      </c>
      <c r="D342" s="26" t="s">
        <v>914</v>
      </c>
      <c r="E342" s="26" t="s">
        <v>142</v>
      </c>
      <c r="F342" s="28">
        <v>698687208</v>
      </c>
      <c r="G342" s="26" t="s">
        <v>160</v>
      </c>
      <c r="H342" s="26" t="s">
        <v>161</v>
      </c>
      <c r="I342" s="26" t="s">
        <v>586</v>
      </c>
      <c r="J342" s="30">
        <v>45419</v>
      </c>
      <c r="K342" s="26" t="s">
        <v>546</v>
      </c>
      <c r="L342" s="26" t="s">
        <v>915</v>
      </c>
      <c r="M342" s="30">
        <v>45419</v>
      </c>
      <c r="N342" s="26" t="s">
        <v>915</v>
      </c>
      <c r="O342" s="26" t="s">
        <v>582</v>
      </c>
      <c r="P342" s="31">
        <v>15</v>
      </c>
      <c r="Q342" s="31">
        <v>10</v>
      </c>
      <c r="R342" s="26" t="s">
        <v>547</v>
      </c>
      <c r="S342" s="26"/>
      <c r="T342" s="31"/>
      <c r="U342" s="26"/>
      <c r="V342" s="26">
        <f t="shared" si="30"/>
        <v>1</v>
      </c>
      <c r="W342" s="26">
        <f t="shared" si="34"/>
        <v>1</v>
      </c>
      <c r="X342" s="26">
        <f>Data_Base[[#This Row],[B.N Total]]-Data_Base[[#This Row],[Nbre Brachements exécuté]]</f>
        <v>0</v>
      </c>
      <c r="Y342" s="26" t="str">
        <f t="shared" si="31"/>
        <v>vendredi</v>
      </c>
      <c r="Z342" s="26" t="str">
        <f t="shared" si="32"/>
        <v>03</v>
      </c>
      <c r="AA342" s="26" t="str">
        <f t="shared" si="35"/>
        <v>05</v>
      </c>
      <c r="AB342" s="26" t="str">
        <f t="shared" si="33"/>
        <v>2024</v>
      </c>
    </row>
    <row r="343" spans="1:28" x14ac:dyDescent="0.25">
      <c r="A343" s="30">
        <v>45415</v>
      </c>
      <c r="B343" s="26" t="s">
        <v>916</v>
      </c>
      <c r="C343" s="26" t="s">
        <v>2</v>
      </c>
      <c r="D343" s="26" t="s">
        <v>917</v>
      </c>
      <c r="E343" s="26" t="s">
        <v>142</v>
      </c>
      <c r="F343" s="28">
        <v>696294007</v>
      </c>
      <c r="G343" s="26" t="s">
        <v>160</v>
      </c>
      <c r="H343" s="26" t="s">
        <v>344</v>
      </c>
      <c r="I343" s="26" t="s">
        <v>556</v>
      </c>
      <c r="J343" s="30">
        <v>45418</v>
      </c>
      <c r="K343" s="26" t="s">
        <v>546</v>
      </c>
      <c r="L343" s="26" t="s">
        <v>918</v>
      </c>
      <c r="M343" s="30">
        <v>45418</v>
      </c>
      <c r="N343" s="26" t="s">
        <v>918</v>
      </c>
      <c r="O343" s="26" t="s">
        <v>582</v>
      </c>
      <c r="P343" s="31">
        <v>30</v>
      </c>
      <c r="Q343" s="31">
        <v>10</v>
      </c>
      <c r="R343" s="26" t="s">
        <v>547</v>
      </c>
      <c r="S343" s="26"/>
      <c r="T343" s="31"/>
      <c r="U343" s="26"/>
      <c r="V343" s="26">
        <f t="shared" si="30"/>
        <v>1</v>
      </c>
      <c r="W343" s="26">
        <f t="shared" si="34"/>
        <v>1</v>
      </c>
      <c r="X343" s="26">
        <f>Data_Base[[#This Row],[B.N Total]]-Data_Base[[#This Row],[Nbre Brachements exécuté]]</f>
        <v>0</v>
      </c>
      <c r="Y343" s="26" t="str">
        <f t="shared" si="31"/>
        <v>vendredi</v>
      </c>
      <c r="Z343" s="26" t="str">
        <f t="shared" si="32"/>
        <v>03</v>
      </c>
      <c r="AA343" s="26" t="str">
        <f t="shared" si="35"/>
        <v>05</v>
      </c>
      <c r="AB343" s="26" t="str">
        <f t="shared" si="33"/>
        <v>2024</v>
      </c>
    </row>
    <row r="344" spans="1:28" x14ac:dyDescent="0.25">
      <c r="A344" s="30">
        <v>45415</v>
      </c>
      <c r="B344" s="26" t="s">
        <v>916</v>
      </c>
      <c r="C344" s="26" t="s">
        <v>2</v>
      </c>
      <c r="D344" s="26" t="s">
        <v>919</v>
      </c>
      <c r="E344" s="26" t="s">
        <v>142</v>
      </c>
      <c r="F344" s="28">
        <v>696294007</v>
      </c>
      <c r="G344" s="26" t="s">
        <v>160</v>
      </c>
      <c r="H344" s="26" t="s">
        <v>344</v>
      </c>
      <c r="I344" s="26" t="s">
        <v>556</v>
      </c>
      <c r="J344" s="30">
        <v>45418</v>
      </c>
      <c r="K344" s="26" t="s">
        <v>546</v>
      </c>
      <c r="L344" s="26" t="s">
        <v>920</v>
      </c>
      <c r="M344" s="30">
        <v>45418</v>
      </c>
      <c r="N344" s="26" t="s">
        <v>920</v>
      </c>
      <c r="O344" s="26" t="s">
        <v>582</v>
      </c>
      <c r="P344" s="31">
        <v>30</v>
      </c>
      <c r="Q344" s="31">
        <v>10</v>
      </c>
      <c r="R344" s="26" t="s">
        <v>547</v>
      </c>
      <c r="S344" s="26"/>
      <c r="T344" s="31"/>
      <c r="U344" s="26"/>
      <c r="V344" s="26">
        <f t="shared" si="30"/>
        <v>1</v>
      </c>
      <c r="W344" s="26">
        <f t="shared" si="34"/>
        <v>1</v>
      </c>
      <c r="X344" s="26">
        <f>Data_Base[[#This Row],[B.N Total]]-Data_Base[[#This Row],[Nbre Brachements exécuté]]</f>
        <v>0</v>
      </c>
      <c r="Y344" s="26" t="str">
        <f t="shared" si="31"/>
        <v>vendredi</v>
      </c>
      <c r="Z344" s="26" t="str">
        <f t="shared" si="32"/>
        <v>03</v>
      </c>
      <c r="AA344" s="26" t="str">
        <f t="shared" si="35"/>
        <v>05</v>
      </c>
      <c r="AB344" s="26" t="str">
        <f t="shared" si="33"/>
        <v>2024</v>
      </c>
    </row>
    <row r="345" spans="1:28" x14ac:dyDescent="0.25">
      <c r="A345" s="30">
        <v>45415</v>
      </c>
      <c r="B345" s="26" t="s">
        <v>916</v>
      </c>
      <c r="C345" s="26" t="s">
        <v>2</v>
      </c>
      <c r="D345" s="26" t="s">
        <v>921</v>
      </c>
      <c r="E345" s="26" t="s">
        <v>142</v>
      </c>
      <c r="F345" s="28">
        <v>696294007</v>
      </c>
      <c r="G345" s="26" t="s">
        <v>160</v>
      </c>
      <c r="H345" s="26" t="s">
        <v>344</v>
      </c>
      <c r="I345" s="26" t="s">
        <v>556</v>
      </c>
      <c r="J345" s="30">
        <v>45418</v>
      </c>
      <c r="K345" s="26" t="s">
        <v>546</v>
      </c>
      <c r="L345" s="26" t="s">
        <v>922</v>
      </c>
      <c r="M345" s="30">
        <v>45418</v>
      </c>
      <c r="N345" s="26" t="s">
        <v>922</v>
      </c>
      <c r="O345" s="26" t="s">
        <v>582</v>
      </c>
      <c r="P345" s="31">
        <v>30</v>
      </c>
      <c r="Q345" s="31">
        <v>10</v>
      </c>
      <c r="R345" s="26" t="s">
        <v>547</v>
      </c>
      <c r="S345" s="26"/>
      <c r="T345" s="31"/>
      <c r="U345" s="26"/>
      <c r="V345" s="26">
        <f t="shared" si="30"/>
        <v>1</v>
      </c>
      <c r="W345" s="26">
        <f t="shared" si="34"/>
        <v>1</v>
      </c>
      <c r="X345" s="26">
        <f>Data_Base[[#This Row],[B.N Total]]-Data_Base[[#This Row],[Nbre Brachements exécuté]]</f>
        <v>0</v>
      </c>
      <c r="Y345" s="26" t="str">
        <f t="shared" si="31"/>
        <v>vendredi</v>
      </c>
      <c r="Z345" s="26" t="str">
        <f t="shared" si="32"/>
        <v>03</v>
      </c>
      <c r="AA345" s="26" t="str">
        <f t="shared" si="35"/>
        <v>05</v>
      </c>
      <c r="AB345" s="26" t="str">
        <f t="shared" si="33"/>
        <v>2024</v>
      </c>
    </row>
    <row r="346" spans="1:28" x14ac:dyDescent="0.25">
      <c r="A346" s="30">
        <v>45415</v>
      </c>
      <c r="B346" s="26" t="s">
        <v>916</v>
      </c>
      <c r="C346" s="26" t="s">
        <v>2</v>
      </c>
      <c r="D346" s="26" t="s">
        <v>923</v>
      </c>
      <c r="E346" s="26" t="s">
        <v>142</v>
      </c>
      <c r="F346" s="28">
        <v>696294007</v>
      </c>
      <c r="G346" s="26" t="s">
        <v>160</v>
      </c>
      <c r="H346" s="26" t="s">
        <v>344</v>
      </c>
      <c r="I346" s="26" t="s">
        <v>556</v>
      </c>
      <c r="J346" s="30">
        <v>45418</v>
      </c>
      <c r="K346" s="26" t="s">
        <v>546</v>
      </c>
      <c r="L346" s="26" t="s">
        <v>924</v>
      </c>
      <c r="M346" s="30">
        <v>45418</v>
      </c>
      <c r="N346" s="26" t="s">
        <v>924</v>
      </c>
      <c r="O346" s="26" t="s">
        <v>582</v>
      </c>
      <c r="P346" s="31">
        <v>30</v>
      </c>
      <c r="Q346" s="31">
        <v>10</v>
      </c>
      <c r="R346" s="26" t="s">
        <v>547</v>
      </c>
      <c r="S346" s="26"/>
      <c r="T346" s="31"/>
      <c r="U346" s="26"/>
      <c r="V346" s="26">
        <f t="shared" si="30"/>
        <v>1</v>
      </c>
      <c r="W346" s="26">
        <f t="shared" si="34"/>
        <v>1</v>
      </c>
      <c r="X346" s="26">
        <f>Data_Base[[#This Row],[B.N Total]]-Data_Base[[#This Row],[Nbre Brachements exécuté]]</f>
        <v>0</v>
      </c>
      <c r="Y346" s="26" t="str">
        <f t="shared" si="31"/>
        <v>vendredi</v>
      </c>
      <c r="Z346" s="26" t="str">
        <f t="shared" si="32"/>
        <v>03</v>
      </c>
      <c r="AA346" s="26" t="str">
        <f t="shared" si="35"/>
        <v>05</v>
      </c>
      <c r="AB346" s="26" t="str">
        <f t="shared" si="33"/>
        <v>2024</v>
      </c>
    </row>
    <row r="347" spans="1:28" x14ac:dyDescent="0.25">
      <c r="A347" s="30">
        <v>45415</v>
      </c>
      <c r="B347" s="26" t="s">
        <v>916</v>
      </c>
      <c r="C347" s="26" t="s">
        <v>2</v>
      </c>
      <c r="D347" s="26" t="s">
        <v>925</v>
      </c>
      <c r="E347" s="26" t="s">
        <v>142</v>
      </c>
      <c r="F347" s="28">
        <v>696294007</v>
      </c>
      <c r="G347" s="26" t="s">
        <v>160</v>
      </c>
      <c r="H347" s="26" t="s">
        <v>344</v>
      </c>
      <c r="I347" s="26" t="s">
        <v>556</v>
      </c>
      <c r="J347" s="30">
        <v>45418</v>
      </c>
      <c r="K347" s="26" t="s">
        <v>546</v>
      </c>
      <c r="L347" s="26" t="s">
        <v>926</v>
      </c>
      <c r="M347" s="30">
        <v>45418</v>
      </c>
      <c r="N347" s="26" t="s">
        <v>926</v>
      </c>
      <c r="O347" s="26" t="s">
        <v>582</v>
      </c>
      <c r="P347" s="31">
        <v>30</v>
      </c>
      <c r="Q347" s="31">
        <v>10</v>
      </c>
      <c r="R347" s="26" t="s">
        <v>547</v>
      </c>
      <c r="S347" s="26"/>
      <c r="T347" s="31"/>
      <c r="U347" s="26"/>
      <c r="V347" s="26">
        <f t="shared" si="30"/>
        <v>1</v>
      </c>
      <c r="W347" s="26">
        <f t="shared" si="34"/>
        <v>1</v>
      </c>
      <c r="X347" s="26">
        <f>Data_Base[[#This Row],[B.N Total]]-Data_Base[[#This Row],[Nbre Brachements exécuté]]</f>
        <v>0</v>
      </c>
      <c r="Y347" s="26" t="str">
        <f t="shared" si="31"/>
        <v>vendredi</v>
      </c>
      <c r="Z347" s="26" t="str">
        <f t="shared" si="32"/>
        <v>03</v>
      </c>
      <c r="AA347" s="26" t="str">
        <f t="shared" si="35"/>
        <v>05</v>
      </c>
      <c r="AB347" s="26" t="str">
        <f t="shared" si="33"/>
        <v>2024</v>
      </c>
    </row>
    <row r="348" spans="1:28" x14ac:dyDescent="0.25">
      <c r="A348" s="30">
        <v>45415</v>
      </c>
      <c r="B348" s="26" t="s">
        <v>916</v>
      </c>
      <c r="C348" s="26" t="s">
        <v>2</v>
      </c>
      <c r="D348" s="26" t="s">
        <v>927</v>
      </c>
      <c r="E348" s="26" t="s">
        <v>142</v>
      </c>
      <c r="F348" s="28">
        <v>696294007</v>
      </c>
      <c r="G348" s="26" t="s">
        <v>160</v>
      </c>
      <c r="H348" s="26" t="s">
        <v>344</v>
      </c>
      <c r="I348" s="26" t="s">
        <v>556</v>
      </c>
      <c r="J348" s="30">
        <v>45418</v>
      </c>
      <c r="K348" s="26" t="s">
        <v>546</v>
      </c>
      <c r="L348" s="26" t="s">
        <v>928</v>
      </c>
      <c r="M348" s="30">
        <v>45418</v>
      </c>
      <c r="N348" s="26" t="s">
        <v>928</v>
      </c>
      <c r="O348" s="26" t="s">
        <v>582</v>
      </c>
      <c r="P348" s="31">
        <v>30</v>
      </c>
      <c r="Q348" s="31">
        <v>10</v>
      </c>
      <c r="R348" s="26" t="s">
        <v>547</v>
      </c>
      <c r="S348" s="26"/>
      <c r="T348" s="31"/>
      <c r="U348" s="26"/>
      <c r="V348" s="26">
        <f t="shared" si="30"/>
        <v>1</v>
      </c>
      <c r="W348" s="26">
        <f t="shared" si="34"/>
        <v>1</v>
      </c>
      <c r="X348" s="26">
        <f>Data_Base[[#This Row],[B.N Total]]-Data_Base[[#This Row],[Nbre Brachements exécuté]]</f>
        <v>0</v>
      </c>
      <c r="Y348" s="26" t="str">
        <f t="shared" si="31"/>
        <v>vendredi</v>
      </c>
      <c r="Z348" s="26" t="str">
        <f t="shared" si="32"/>
        <v>03</v>
      </c>
      <c r="AA348" s="26" t="str">
        <f t="shared" si="35"/>
        <v>05</v>
      </c>
      <c r="AB348" s="26" t="str">
        <f t="shared" si="33"/>
        <v>2024</v>
      </c>
    </row>
    <row r="349" spans="1:28" x14ac:dyDescent="0.25">
      <c r="A349" s="30">
        <v>45415</v>
      </c>
      <c r="B349" s="26" t="s">
        <v>916</v>
      </c>
      <c r="C349" s="26" t="s">
        <v>2</v>
      </c>
      <c r="D349" s="26" t="s">
        <v>929</v>
      </c>
      <c r="E349" s="26" t="s">
        <v>142</v>
      </c>
      <c r="F349" s="28">
        <v>696294007</v>
      </c>
      <c r="G349" s="26" t="s">
        <v>160</v>
      </c>
      <c r="H349" s="26" t="s">
        <v>344</v>
      </c>
      <c r="I349" s="26" t="s">
        <v>556</v>
      </c>
      <c r="J349" s="30">
        <v>45418</v>
      </c>
      <c r="K349" s="26" t="s">
        <v>546</v>
      </c>
      <c r="L349" s="26" t="s">
        <v>930</v>
      </c>
      <c r="M349" s="30">
        <v>45418</v>
      </c>
      <c r="N349" s="26" t="s">
        <v>930</v>
      </c>
      <c r="O349" s="26" t="s">
        <v>582</v>
      </c>
      <c r="P349" s="31">
        <v>30</v>
      </c>
      <c r="Q349" s="31">
        <v>10</v>
      </c>
      <c r="R349" s="26" t="s">
        <v>547</v>
      </c>
      <c r="S349" s="26"/>
      <c r="T349" s="31"/>
      <c r="U349" s="26"/>
      <c r="V349" s="26">
        <f t="shared" si="30"/>
        <v>1</v>
      </c>
      <c r="W349" s="26">
        <f t="shared" si="34"/>
        <v>1</v>
      </c>
      <c r="X349" s="26">
        <f>Data_Base[[#This Row],[B.N Total]]-Data_Base[[#This Row],[Nbre Brachements exécuté]]</f>
        <v>0</v>
      </c>
      <c r="Y349" s="26" t="str">
        <f t="shared" si="31"/>
        <v>vendredi</v>
      </c>
      <c r="Z349" s="26" t="str">
        <f t="shared" si="32"/>
        <v>03</v>
      </c>
      <c r="AA349" s="26" t="str">
        <f t="shared" si="35"/>
        <v>05</v>
      </c>
      <c r="AB349" s="26" t="str">
        <f t="shared" si="33"/>
        <v>2024</v>
      </c>
    </row>
    <row r="350" spans="1:28" x14ac:dyDescent="0.25">
      <c r="A350" s="30">
        <v>45415</v>
      </c>
      <c r="B350" s="26" t="s">
        <v>916</v>
      </c>
      <c r="C350" s="26" t="s">
        <v>2</v>
      </c>
      <c r="D350" s="26" t="s">
        <v>931</v>
      </c>
      <c r="E350" s="26" t="s">
        <v>142</v>
      </c>
      <c r="F350" s="28">
        <v>696294007</v>
      </c>
      <c r="G350" s="26" t="s">
        <v>160</v>
      </c>
      <c r="H350" s="26" t="s">
        <v>344</v>
      </c>
      <c r="I350" s="26" t="s">
        <v>556</v>
      </c>
      <c r="J350" s="30">
        <v>45418</v>
      </c>
      <c r="K350" s="26" t="s">
        <v>546</v>
      </c>
      <c r="L350" s="26" t="s">
        <v>932</v>
      </c>
      <c r="M350" s="30">
        <v>45418</v>
      </c>
      <c r="N350" s="26" t="s">
        <v>932</v>
      </c>
      <c r="O350" s="26" t="s">
        <v>582</v>
      </c>
      <c r="P350" s="31">
        <v>30</v>
      </c>
      <c r="Q350" s="31">
        <v>10</v>
      </c>
      <c r="R350" s="26" t="s">
        <v>547</v>
      </c>
      <c r="S350" s="26"/>
      <c r="T350" s="31"/>
      <c r="U350" s="26"/>
      <c r="V350" s="26">
        <f t="shared" si="30"/>
        <v>1</v>
      </c>
      <c r="W350" s="26">
        <f t="shared" si="34"/>
        <v>1</v>
      </c>
      <c r="X350" s="26">
        <f>Data_Base[[#This Row],[B.N Total]]-Data_Base[[#This Row],[Nbre Brachements exécuté]]</f>
        <v>0</v>
      </c>
      <c r="Y350" s="26" t="str">
        <f t="shared" si="31"/>
        <v>vendredi</v>
      </c>
      <c r="Z350" s="26" t="str">
        <f t="shared" si="32"/>
        <v>03</v>
      </c>
      <c r="AA350" s="26" t="str">
        <f t="shared" si="35"/>
        <v>05</v>
      </c>
      <c r="AB350" s="26" t="str">
        <f t="shared" si="33"/>
        <v>2024</v>
      </c>
    </row>
    <row r="351" spans="1:28" x14ac:dyDescent="0.25">
      <c r="A351" s="30">
        <v>45415</v>
      </c>
      <c r="B351" s="26" t="s">
        <v>916</v>
      </c>
      <c r="C351" s="26" t="s">
        <v>2</v>
      </c>
      <c r="D351" s="26" t="s">
        <v>933</v>
      </c>
      <c r="E351" s="26" t="s">
        <v>142</v>
      </c>
      <c r="F351" s="28">
        <v>696294007</v>
      </c>
      <c r="G351" s="26" t="s">
        <v>160</v>
      </c>
      <c r="H351" s="26" t="s">
        <v>344</v>
      </c>
      <c r="I351" s="26" t="s">
        <v>556</v>
      </c>
      <c r="J351" s="30">
        <v>45418</v>
      </c>
      <c r="K351" s="26" t="s">
        <v>546</v>
      </c>
      <c r="L351" s="26" t="s">
        <v>934</v>
      </c>
      <c r="M351" s="30">
        <v>45418</v>
      </c>
      <c r="N351" s="26" t="s">
        <v>934</v>
      </c>
      <c r="O351" s="26" t="s">
        <v>582</v>
      </c>
      <c r="P351" s="31">
        <v>30</v>
      </c>
      <c r="Q351" s="31">
        <v>10</v>
      </c>
      <c r="R351" s="26" t="s">
        <v>547</v>
      </c>
      <c r="S351" s="26"/>
      <c r="T351" s="31"/>
      <c r="U351" s="26"/>
      <c r="V351" s="26">
        <f t="shared" si="30"/>
        <v>1</v>
      </c>
      <c r="W351" s="26">
        <f t="shared" si="34"/>
        <v>1</v>
      </c>
      <c r="X351" s="26">
        <f>Data_Base[[#This Row],[B.N Total]]-Data_Base[[#This Row],[Nbre Brachements exécuté]]</f>
        <v>0</v>
      </c>
      <c r="Y351" s="26" t="str">
        <f t="shared" si="31"/>
        <v>vendredi</v>
      </c>
      <c r="Z351" s="26" t="str">
        <f t="shared" si="32"/>
        <v>03</v>
      </c>
      <c r="AA351" s="26" t="str">
        <f t="shared" si="35"/>
        <v>05</v>
      </c>
      <c r="AB351" s="26" t="str">
        <f t="shared" si="33"/>
        <v>2024</v>
      </c>
    </row>
    <row r="352" spans="1:28" x14ac:dyDescent="0.25">
      <c r="A352" s="30">
        <v>45415</v>
      </c>
      <c r="B352" s="26" t="s">
        <v>935</v>
      </c>
      <c r="C352" s="26" t="s">
        <v>2</v>
      </c>
      <c r="D352" s="26" t="s">
        <v>936</v>
      </c>
      <c r="E352" s="26"/>
      <c r="G352" s="26"/>
      <c r="H352" s="26"/>
      <c r="I352" s="26"/>
      <c r="J352" s="30"/>
      <c r="K352" s="26"/>
      <c r="M352" s="30"/>
      <c r="O352" s="26"/>
      <c r="P352" s="31"/>
      <c r="Q352" s="31"/>
      <c r="R352" s="26"/>
      <c r="S352" s="26"/>
      <c r="T352" s="31"/>
      <c r="U352" s="26"/>
      <c r="V352" s="26">
        <f t="shared" si="30"/>
        <v>1</v>
      </c>
      <c r="W352" s="26">
        <f t="shared" si="34"/>
        <v>0</v>
      </c>
      <c r="X352" s="26">
        <f>Data_Base[[#This Row],[B.N Total]]-Data_Base[[#This Row],[Nbre Brachements exécuté]]</f>
        <v>1</v>
      </c>
      <c r="Y352" s="26" t="str">
        <f t="shared" si="31"/>
        <v>vendredi</v>
      </c>
      <c r="Z352" s="26" t="str">
        <f t="shared" si="32"/>
        <v>03</v>
      </c>
      <c r="AA352" s="26" t="str">
        <f t="shared" si="35"/>
        <v>05</v>
      </c>
      <c r="AB352" s="26" t="str">
        <f t="shared" si="33"/>
        <v>2024</v>
      </c>
    </row>
    <row r="353" spans="1:28" x14ac:dyDescent="0.25">
      <c r="A353" s="30">
        <v>45415</v>
      </c>
      <c r="B353" s="26" t="s">
        <v>937</v>
      </c>
      <c r="C353" s="26" t="s">
        <v>2</v>
      </c>
      <c r="D353" s="26" t="s">
        <v>938</v>
      </c>
      <c r="E353" s="26"/>
      <c r="G353" s="26"/>
      <c r="H353" s="26"/>
      <c r="I353" s="26"/>
      <c r="J353" s="30"/>
      <c r="K353" s="26"/>
      <c r="M353" s="30"/>
      <c r="O353" s="26"/>
      <c r="P353" s="31"/>
      <c r="Q353" s="31"/>
      <c r="R353" s="26"/>
      <c r="S353" s="26"/>
      <c r="T353" s="31"/>
      <c r="U353" s="26"/>
      <c r="V353" s="26">
        <f t="shared" si="30"/>
        <v>1</v>
      </c>
      <c r="W353" s="26">
        <f t="shared" si="34"/>
        <v>0</v>
      </c>
      <c r="X353" s="26">
        <f>Data_Base[[#This Row],[B.N Total]]-Data_Base[[#This Row],[Nbre Brachements exécuté]]</f>
        <v>1</v>
      </c>
      <c r="Y353" s="26" t="str">
        <f t="shared" si="31"/>
        <v>vendredi</v>
      </c>
      <c r="Z353" s="26" t="str">
        <f t="shared" si="32"/>
        <v>03</v>
      </c>
      <c r="AA353" s="26" t="str">
        <f t="shared" si="35"/>
        <v>05</v>
      </c>
      <c r="AB353" s="26" t="str">
        <f t="shared" si="33"/>
        <v>2024</v>
      </c>
    </row>
    <row r="354" spans="1:28" x14ac:dyDescent="0.25">
      <c r="A354" s="30">
        <v>45415</v>
      </c>
      <c r="B354" s="26" t="s">
        <v>939</v>
      </c>
      <c r="C354" s="26" t="s">
        <v>2</v>
      </c>
      <c r="D354" s="26" t="s">
        <v>940</v>
      </c>
      <c r="E354" s="26"/>
      <c r="G354" s="26"/>
      <c r="H354" s="26"/>
      <c r="I354" s="26"/>
      <c r="J354" s="30"/>
      <c r="K354" s="26"/>
      <c r="M354" s="30"/>
      <c r="O354" s="26"/>
      <c r="P354" s="31"/>
      <c r="Q354" s="31"/>
      <c r="R354" s="26"/>
      <c r="S354" s="26"/>
      <c r="T354" s="31"/>
      <c r="U354" s="26"/>
      <c r="V354" s="26">
        <f t="shared" si="30"/>
        <v>1</v>
      </c>
      <c r="W354" s="26">
        <f t="shared" si="34"/>
        <v>0</v>
      </c>
      <c r="X354" s="26">
        <f>Data_Base[[#This Row],[B.N Total]]-Data_Base[[#This Row],[Nbre Brachements exécuté]]</f>
        <v>1</v>
      </c>
      <c r="Y354" s="26" t="str">
        <f t="shared" si="31"/>
        <v>vendredi</v>
      </c>
      <c r="Z354" s="26" t="str">
        <f t="shared" si="32"/>
        <v>03</v>
      </c>
      <c r="AA354" s="26" t="str">
        <f t="shared" si="35"/>
        <v>05</v>
      </c>
      <c r="AB354" s="26" t="str">
        <f t="shared" si="33"/>
        <v>2024</v>
      </c>
    </row>
    <row r="355" spans="1:28" x14ac:dyDescent="0.25">
      <c r="A355" s="30">
        <v>45415</v>
      </c>
      <c r="B355" s="26" t="s">
        <v>941</v>
      </c>
      <c r="C355" s="26" t="s">
        <v>2</v>
      </c>
      <c r="D355" s="26" t="s">
        <v>942</v>
      </c>
      <c r="E355" s="26"/>
      <c r="G355" s="26"/>
      <c r="H355" s="26"/>
      <c r="I355" s="26"/>
      <c r="J355" s="30"/>
      <c r="K355" s="26"/>
      <c r="M355" s="30"/>
      <c r="O355" s="26"/>
      <c r="P355" s="31"/>
      <c r="Q355" s="31"/>
      <c r="R355" s="26"/>
      <c r="S355" s="26"/>
      <c r="T355" s="31"/>
      <c r="U355" s="26"/>
      <c r="V355" s="26">
        <f t="shared" si="30"/>
        <v>1</v>
      </c>
      <c r="W355" s="26">
        <f t="shared" si="34"/>
        <v>0</v>
      </c>
      <c r="X355" s="26">
        <f>Data_Base[[#This Row],[B.N Total]]-Data_Base[[#This Row],[Nbre Brachements exécuté]]</f>
        <v>1</v>
      </c>
      <c r="Y355" s="26" t="str">
        <f t="shared" si="31"/>
        <v>vendredi</v>
      </c>
      <c r="Z355" s="26" t="str">
        <f t="shared" si="32"/>
        <v>03</v>
      </c>
      <c r="AA355" s="26" t="str">
        <f t="shared" si="35"/>
        <v>05</v>
      </c>
      <c r="AB355" s="26" t="str">
        <f t="shared" si="33"/>
        <v>2024</v>
      </c>
    </row>
    <row r="356" spans="1:28" x14ac:dyDescent="0.25">
      <c r="A356" s="30">
        <v>45415</v>
      </c>
      <c r="B356" s="26" t="s">
        <v>943</v>
      </c>
      <c r="C356" s="26" t="s">
        <v>2</v>
      </c>
      <c r="D356" s="26" t="s">
        <v>944</v>
      </c>
      <c r="E356" s="26"/>
      <c r="F356" s="28">
        <v>691653480</v>
      </c>
      <c r="G356" s="26" t="s">
        <v>160</v>
      </c>
      <c r="H356" s="26" t="s">
        <v>161</v>
      </c>
      <c r="I356" s="26" t="s">
        <v>586</v>
      </c>
      <c r="J356" s="30">
        <v>45425</v>
      </c>
      <c r="K356" s="26" t="s">
        <v>546</v>
      </c>
      <c r="M356" s="30"/>
      <c r="O356" s="26"/>
      <c r="P356" s="31"/>
      <c r="Q356" s="31"/>
      <c r="R356" s="26"/>
      <c r="S356" s="26"/>
      <c r="T356" s="31"/>
      <c r="U356" s="26"/>
      <c r="V356" s="26">
        <f t="shared" si="30"/>
        <v>1</v>
      </c>
      <c r="W356" s="26">
        <f t="shared" si="34"/>
        <v>0</v>
      </c>
      <c r="X356" s="26">
        <f>Data_Base[[#This Row],[B.N Total]]-Data_Base[[#This Row],[Nbre Brachements exécuté]]</f>
        <v>1</v>
      </c>
      <c r="Y356" s="26" t="str">
        <f t="shared" si="31"/>
        <v>vendredi</v>
      </c>
      <c r="Z356" s="26" t="str">
        <f t="shared" si="32"/>
        <v>03</v>
      </c>
      <c r="AA356" s="26" t="str">
        <f t="shared" si="35"/>
        <v>05</v>
      </c>
      <c r="AB356" s="26" t="str">
        <f t="shared" si="33"/>
        <v>2024</v>
      </c>
    </row>
    <row r="357" spans="1:28" x14ac:dyDescent="0.25">
      <c r="A357" s="30">
        <v>45415</v>
      </c>
      <c r="B357" s="26" t="s">
        <v>945</v>
      </c>
      <c r="C357" s="26" t="s">
        <v>2</v>
      </c>
      <c r="D357" s="26" t="s">
        <v>946</v>
      </c>
      <c r="E357" s="26"/>
      <c r="F357" s="28">
        <v>690152124</v>
      </c>
      <c r="G357" s="26" t="s">
        <v>160</v>
      </c>
      <c r="H357" s="26" t="s">
        <v>161</v>
      </c>
      <c r="I357" s="26" t="s">
        <v>586</v>
      </c>
      <c r="J357" s="30">
        <v>45425</v>
      </c>
      <c r="K357" s="26" t="s">
        <v>546</v>
      </c>
      <c r="M357" s="30"/>
      <c r="O357" s="26"/>
      <c r="P357" s="31"/>
      <c r="Q357" s="31"/>
      <c r="R357" s="26"/>
      <c r="S357" s="26"/>
      <c r="T357" s="31"/>
      <c r="U357" s="26"/>
      <c r="V357" s="26">
        <f t="shared" si="30"/>
        <v>1</v>
      </c>
      <c r="W357" s="26">
        <f t="shared" si="34"/>
        <v>0</v>
      </c>
      <c r="X357" s="26">
        <f>Data_Base[[#This Row],[B.N Total]]-Data_Base[[#This Row],[Nbre Brachements exécuté]]</f>
        <v>1</v>
      </c>
      <c r="Y357" s="26" t="str">
        <f t="shared" si="31"/>
        <v>vendredi</v>
      </c>
      <c r="Z357" s="26" t="str">
        <f t="shared" si="32"/>
        <v>03</v>
      </c>
      <c r="AA357" s="26" t="str">
        <f t="shared" si="35"/>
        <v>05</v>
      </c>
      <c r="AB357" s="26" t="str">
        <f t="shared" si="33"/>
        <v>2024</v>
      </c>
    </row>
    <row r="358" spans="1:28" x14ac:dyDescent="0.25">
      <c r="A358" s="30">
        <v>45415</v>
      </c>
      <c r="B358" s="26" t="s">
        <v>947</v>
      </c>
      <c r="C358" s="26" t="s">
        <v>2</v>
      </c>
      <c r="D358" s="26" t="s">
        <v>948</v>
      </c>
      <c r="E358" s="26"/>
      <c r="F358" s="28">
        <v>651167716</v>
      </c>
      <c r="G358" s="26" t="s">
        <v>160</v>
      </c>
      <c r="H358" s="26" t="s">
        <v>161</v>
      </c>
      <c r="I358" s="26" t="s">
        <v>586</v>
      </c>
      <c r="J358" s="30">
        <v>45425</v>
      </c>
      <c r="K358" s="26" t="s">
        <v>546</v>
      </c>
      <c r="M358" s="30"/>
      <c r="O358" s="26"/>
      <c r="P358" s="31"/>
      <c r="Q358" s="31"/>
      <c r="R358" s="26"/>
      <c r="S358" s="26"/>
      <c r="T358" s="31"/>
      <c r="U358" s="26"/>
      <c r="V358" s="26">
        <f t="shared" si="30"/>
        <v>1</v>
      </c>
      <c r="W358" s="26">
        <f t="shared" si="34"/>
        <v>0</v>
      </c>
      <c r="X358" s="26">
        <f>Data_Base[[#This Row],[B.N Total]]-Data_Base[[#This Row],[Nbre Brachements exécuté]]</f>
        <v>1</v>
      </c>
      <c r="Y358" s="26" t="str">
        <f t="shared" si="31"/>
        <v>vendredi</v>
      </c>
      <c r="Z358" s="26" t="str">
        <f t="shared" si="32"/>
        <v>03</v>
      </c>
      <c r="AA358" s="26" t="str">
        <f t="shared" si="35"/>
        <v>05</v>
      </c>
      <c r="AB358" s="26" t="str">
        <f t="shared" si="33"/>
        <v>2024</v>
      </c>
    </row>
    <row r="359" spans="1:28" x14ac:dyDescent="0.25">
      <c r="A359" s="30">
        <v>45415</v>
      </c>
      <c r="B359" s="26" t="s">
        <v>949</v>
      </c>
      <c r="C359" s="26" t="s">
        <v>2</v>
      </c>
      <c r="D359" s="26" t="s">
        <v>950</v>
      </c>
      <c r="E359" s="26"/>
      <c r="G359" s="26"/>
      <c r="H359" s="26"/>
      <c r="I359" s="26"/>
      <c r="J359" s="30"/>
      <c r="K359" s="26"/>
      <c r="M359" s="30"/>
      <c r="O359" s="26"/>
      <c r="P359" s="31"/>
      <c r="Q359" s="31"/>
      <c r="R359" s="26"/>
      <c r="S359" s="26"/>
      <c r="T359" s="31"/>
      <c r="U359" s="26"/>
      <c r="V359" s="26">
        <f t="shared" si="30"/>
        <v>1</v>
      </c>
      <c r="W359" s="26">
        <f t="shared" si="34"/>
        <v>0</v>
      </c>
      <c r="X359" s="26">
        <f>Data_Base[[#This Row],[B.N Total]]-Data_Base[[#This Row],[Nbre Brachements exécuté]]</f>
        <v>1</v>
      </c>
      <c r="Y359" s="26" t="str">
        <f t="shared" si="31"/>
        <v>vendredi</v>
      </c>
      <c r="Z359" s="26" t="str">
        <f t="shared" si="32"/>
        <v>03</v>
      </c>
      <c r="AA359" s="26" t="str">
        <f t="shared" si="35"/>
        <v>05</v>
      </c>
      <c r="AB359" s="26" t="str">
        <f t="shared" si="33"/>
        <v>2024</v>
      </c>
    </row>
    <row r="360" spans="1:28" x14ac:dyDescent="0.25">
      <c r="A360" s="30">
        <v>45415</v>
      </c>
      <c r="B360" s="26" t="s">
        <v>951</v>
      </c>
      <c r="C360" s="26" t="s">
        <v>2</v>
      </c>
      <c r="D360" s="26" t="s">
        <v>952</v>
      </c>
      <c r="E360" s="26"/>
      <c r="G360" s="26"/>
      <c r="H360" s="26"/>
      <c r="I360" s="26"/>
      <c r="J360" s="30"/>
      <c r="K360" s="26"/>
      <c r="M360" s="30"/>
      <c r="O360" s="26"/>
      <c r="P360" s="31"/>
      <c r="Q360" s="31"/>
      <c r="R360" s="26"/>
      <c r="S360" s="26"/>
      <c r="T360" s="31"/>
      <c r="U360" s="26"/>
      <c r="V360" s="26">
        <f t="shared" si="30"/>
        <v>1</v>
      </c>
      <c r="W360" s="26">
        <f t="shared" si="34"/>
        <v>0</v>
      </c>
      <c r="X360" s="26">
        <f>Data_Base[[#This Row],[B.N Total]]-Data_Base[[#This Row],[Nbre Brachements exécuté]]</f>
        <v>1</v>
      </c>
      <c r="Y360" s="26" t="str">
        <f t="shared" si="31"/>
        <v>vendredi</v>
      </c>
      <c r="Z360" s="26" t="str">
        <f t="shared" si="32"/>
        <v>03</v>
      </c>
      <c r="AA360" s="26" t="str">
        <f t="shared" si="35"/>
        <v>05</v>
      </c>
      <c r="AB360" s="26" t="str">
        <f t="shared" si="33"/>
        <v>2024</v>
      </c>
    </row>
    <row r="361" spans="1:28" x14ac:dyDescent="0.25">
      <c r="A361" s="30">
        <v>45415</v>
      </c>
      <c r="B361" s="26" t="s">
        <v>953</v>
      </c>
      <c r="C361" s="26" t="s">
        <v>2</v>
      </c>
      <c r="D361" s="26" t="s">
        <v>954</v>
      </c>
      <c r="E361" s="26"/>
      <c r="F361" s="28">
        <v>651167716</v>
      </c>
      <c r="G361" s="26" t="s">
        <v>160</v>
      </c>
      <c r="H361" s="26" t="s">
        <v>161</v>
      </c>
      <c r="I361" s="26" t="s">
        <v>586</v>
      </c>
      <c r="J361" s="30">
        <v>45425</v>
      </c>
      <c r="K361" s="26" t="s">
        <v>546</v>
      </c>
      <c r="M361" s="30"/>
      <c r="O361" s="26"/>
      <c r="P361" s="31"/>
      <c r="Q361" s="31"/>
      <c r="R361" s="26"/>
      <c r="S361" s="26"/>
      <c r="T361" s="31"/>
      <c r="U361" s="26"/>
      <c r="V361" s="26">
        <f t="shared" si="30"/>
        <v>1</v>
      </c>
      <c r="W361" s="26">
        <f t="shared" si="34"/>
        <v>0</v>
      </c>
      <c r="X361" s="26">
        <f>Data_Base[[#This Row],[B.N Total]]-Data_Base[[#This Row],[Nbre Brachements exécuté]]</f>
        <v>1</v>
      </c>
      <c r="Y361" s="26" t="str">
        <f t="shared" si="31"/>
        <v>vendredi</v>
      </c>
      <c r="Z361" s="26" t="str">
        <f t="shared" si="32"/>
        <v>03</v>
      </c>
      <c r="AA361" s="26" t="str">
        <f t="shared" si="35"/>
        <v>05</v>
      </c>
      <c r="AB361" s="26" t="str">
        <f t="shared" si="33"/>
        <v>2024</v>
      </c>
    </row>
    <row r="362" spans="1:28" x14ac:dyDescent="0.25">
      <c r="A362" s="30">
        <v>45415</v>
      </c>
      <c r="B362" s="26" t="s">
        <v>955</v>
      </c>
      <c r="C362" s="26" t="s">
        <v>2</v>
      </c>
      <c r="D362" s="26" t="s">
        <v>956</v>
      </c>
      <c r="E362" s="26"/>
      <c r="F362" s="28">
        <v>679718801</v>
      </c>
      <c r="G362" s="26" t="s">
        <v>160</v>
      </c>
      <c r="H362" s="26" t="s">
        <v>161</v>
      </c>
      <c r="I362" s="26" t="s">
        <v>586</v>
      </c>
      <c r="J362" s="30">
        <v>45425</v>
      </c>
      <c r="K362" s="26"/>
      <c r="M362" s="30"/>
      <c r="O362" s="26"/>
      <c r="P362" s="31"/>
      <c r="Q362" s="31"/>
      <c r="R362" s="26"/>
      <c r="S362" s="26"/>
      <c r="T362" s="31"/>
      <c r="U362" s="26"/>
      <c r="V362" s="26">
        <f t="shared" si="30"/>
        <v>1</v>
      </c>
      <c r="W362" s="26">
        <f t="shared" si="34"/>
        <v>0</v>
      </c>
      <c r="X362" s="26">
        <f>Data_Base[[#This Row],[B.N Total]]-Data_Base[[#This Row],[Nbre Brachements exécuté]]</f>
        <v>1</v>
      </c>
      <c r="Y362" s="26" t="str">
        <f t="shared" si="31"/>
        <v>vendredi</v>
      </c>
      <c r="Z362" s="26" t="str">
        <f t="shared" si="32"/>
        <v>03</v>
      </c>
      <c r="AA362" s="26" t="str">
        <f t="shared" si="35"/>
        <v>05</v>
      </c>
      <c r="AB362" s="26" t="str">
        <f t="shared" si="33"/>
        <v>2024</v>
      </c>
    </row>
    <row r="363" spans="1:28" x14ac:dyDescent="0.25">
      <c r="A363" s="30">
        <v>45415</v>
      </c>
      <c r="B363" s="26" t="s">
        <v>957</v>
      </c>
      <c r="C363" s="26" t="s">
        <v>2</v>
      </c>
      <c r="D363" s="26" t="s">
        <v>958</v>
      </c>
      <c r="E363" s="26"/>
      <c r="G363" s="26"/>
      <c r="H363" s="26"/>
      <c r="I363" s="26"/>
      <c r="J363" s="30"/>
      <c r="K363" s="26"/>
      <c r="M363" s="30"/>
      <c r="O363" s="26"/>
      <c r="P363" s="31"/>
      <c r="Q363" s="31"/>
      <c r="R363" s="26"/>
      <c r="S363" s="26"/>
      <c r="T363" s="31"/>
      <c r="U363" s="26"/>
      <c r="V363" s="26">
        <f t="shared" si="30"/>
        <v>1</v>
      </c>
      <c r="W363" s="26">
        <f t="shared" si="34"/>
        <v>0</v>
      </c>
      <c r="X363" s="26">
        <f>Data_Base[[#This Row],[B.N Total]]-Data_Base[[#This Row],[Nbre Brachements exécuté]]</f>
        <v>1</v>
      </c>
      <c r="Y363" s="26" t="str">
        <f t="shared" si="31"/>
        <v>vendredi</v>
      </c>
      <c r="Z363" s="26" t="str">
        <f t="shared" si="32"/>
        <v>03</v>
      </c>
      <c r="AA363" s="26" t="str">
        <f t="shared" si="35"/>
        <v>05</v>
      </c>
      <c r="AB363" s="26" t="str">
        <f t="shared" si="33"/>
        <v>2024</v>
      </c>
    </row>
    <row r="364" spans="1:28" x14ac:dyDescent="0.25">
      <c r="A364" s="30">
        <v>45415</v>
      </c>
      <c r="B364" s="26" t="s">
        <v>959</v>
      </c>
      <c r="C364" s="26" t="s">
        <v>2</v>
      </c>
      <c r="D364" s="26" t="s">
        <v>960</v>
      </c>
      <c r="E364" s="26"/>
      <c r="G364" s="26"/>
      <c r="H364" s="26"/>
      <c r="I364" s="26"/>
      <c r="J364" s="30"/>
      <c r="K364" s="26"/>
      <c r="M364" s="30"/>
      <c r="O364" s="26"/>
      <c r="P364" s="31"/>
      <c r="Q364" s="31"/>
      <c r="R364" s="26"/>
      <c r="S364" s="26"/>
      <c r="T364" s="31"/>
      <c r="U364" s="26"/>
      <c r="V364" s="26">
        <f t="shared" si="30"/>
        <v>1</v>
      </c>
      <c r="W364" s="26">
        <f t="shared" si="34"/>
        <v>0</v>
      </c>
      <c r="X364" s="26">
        <f>Data_Base[[#This Row],[B.N Total]]-Data_Base[[#This Row],[Nbre Brachements exécuté]]</f>
        <v>1</v>
      </c>
      <c r="Y364" s="26" t="str">
        <f t="shared" si="31"/>
        <v>vendredi</v>
      </c>
      <c r="Z364" s="26" t="str">
        <f t="shared" si="32"/>
        <v>03</v>
      </c>
      <c r="AA364" s="26" t="str">
        <f t="shared" si="35"/>
        <v>05</v>
      </c>
      <c r="AB364" s="26" t="str">
        <f t="shared" si="33"/>
        <v>2024</v>
      </c>
    </row>
    <row r="365" spans="1:28" x14ac:dyDescent="0.25">
      <c r="A365" s="30">
        <v>45415</v>
      </c>
      <c r="B365" s="26" t="s">
        <v>961</v>
      </c>
      <c r="C365" s="26" t="s">
        <v>2</v>
      </c>
      <c r="D365" s="26" t="s">
        <v>962</v>
      </c>
      <c r="E365" s="26"/>
      <c r="G365" s="26"/>
      <c r="H365" s="26"/>
      <c r="I365" s="26"/>
      <c r="J365" s="30"/>
      <c r="K365" s="26"/>
      <c r="M365" s="30"/>
      <c r="O365" s="26"/>
      <c r="P365" s="31"/>
      <c r="Q365" s="31"/>
      <c r="R365" s="26"/>
      <c r="S365" s="26"/>
      <c r="T365" s="31"/>
      <c r="U365" s="26"/>
      <c r="V365" s="26">
        <f t="shared" si="30"/>
        <v>1</v>
      </c>
      <c r="W365" s="26">
        <f t="shared" si="34"/>
        <v>0</v>
      </c>
      <c r="X365" s="26">
        <f>Data_Base[[#This Row],[B.N Total]]-Data_Base[[#This Row],[Nbre Brachements exécuté]]</f>
        <v>1</v>
      </c>
      <c r="Y365" s="26" t="str">
        <f t="shared" si="31"/>
        <v>vendredi</v>
      </c>
      <c r="Z365" s="26" t="str">
        <f t="shared" si="32"/>
        <v>03</v>
      </c>
      <c r="AA365" s="26" t="str">
        <f t="shared" si="35"/>
        <v>05</v>
      </c>
      <c r="AB365" s="26" t="str">
        <f t="shared" si="33"/>
        <v>2024</v>
      </c>
    </row>
    <row r="366" spans="1:28" x14ac:dyDescent="0.25">
      <c r="A366" s="30">
        <v>45415</v>
      </c>
      <c r="B366" s="26" t="s">
        <v>963</v>
      </c>
      <c r="C366" s="26" t="s">
        <v>2</v>
      </c>
      <c r="D366" s="26" t="s">
        <v>964</v>
      </c>
      <c r="E366" s="26"/>
      <c r="G366" s="26"/>
      <c r="H366" s="26"/>
      <c r="I366" s="26"/>
      <c r="J366" s="30"/>
      <c r="K366" s="26"/>
      <c r="M366" s="30"/>
      <c r="O366" s="26"/>
      <c r="P366" s="31"/>
      <c r="Q366" s="31"/>
      <c r="R366" s="26"/>
      <c r="S366" s="26"/>
      <c r="T366" s="31"/>
      <c r="U366" s="26"/>
      <c r="V366" s="26">
        <f t="shared" si="30"/>
        <v>1</v>
      </c>
      <c r="W366" s="26">
        <f t="shared" si="34"/>
        <v>0</v>
      </c>
      <c r="X366" s="26">
        <f>Data_Base[[#This Row],[B.N Total]]-Data_Base[[#This Row],[Nbre Brachements exécuté]]</f>
        <v>1</v>
      </c>
      <c r="Y366" s="26" t="str">
        <f t="shared" si="31"/>
        <v>vendredi</v>
      </c>
      <c r="Z366" s="26" t="str">
        <f t="shared" si="32"/>
        <v>03</v>
      </c>
      <c r="AA366" s="26" t="str">
        <f t="shared" si="35"/>
        <v>05</v>
      </c>
      <c r="AB366" s="26" t="str">
        <f t="shared" si="33"/>
        <v>2024</v>
      </c>
    </row>
    <row r="367" spans="1:28" x14ac:dyDescent="0.25">
      <c r="A367" s="30">
        <v>45415</v>
      </c>
      <c r="B367" s="26" t="s">
        <v>965</v>
      </c>
      <c r="C367" s="26" t="s">
        <v>2</v>
      </c>
      <c r="D367" s="26" t="s">
        <v>966</v>
      </c>
      <c r="E367" s="26"/>
      <c r="G367" s="26"/>
      <c r="H367" s="26"/>
      <c r="I367" s="26"/>
      <c r="J367" s="30"/>
      <c r="K367" s="26"/>
      <c r="M367" s="30"/>
      <c r="O367" s="26"/>
      <c r="P367" s="31"/>
      <c r="Q367" s="31"/>
      <c r="R367" s="26"/>
      <c r="S367" s="26"/>
      <c r="T367" s="31"/>
      <c r="U367" s="26"/>
      <c r="V367" s="26">
        <f t="shared" si="30"/>
        <v>1</v>
      </c>
      <c r="W367" s="26">
        <f t="shared" si="34"/>
        <v>0</v>
      </c>
      <c r="X367" s="26">
        <f>Data_Base[[#This Row],[B.N Total]]-Data_Base[[#This Row],[Nbre Brachements exécuté]]</f>
        <v>1</v>
      </c>
      <c r="Y367" s="26" t="str">
        <f t="shared" si="31"/>
        <v>vendredi</v>
      </c>
      <c r="Z367" s="26" t="str">
        <f t="shared" si="32"/>
        <v>03</v>
      </c>
      <c r="AA367" s="26" t="str">
        <f t="shared" si="35"/>
        <v>05</v>
      </c>
      <c r="AB367" s="26" t="str">
        <f t="shared" si="33"/>
        <v>2024</v>
      </c>
    </row>
    <row r="368" spans="1:28" x14ac:dyDescent="0.25">
      <c r="A368" s="30">
        <v>45415</v>
      </c>
      <c r="B368" s="26" t="s">
        <v>967</v>
      </c>
      <c r="C368" s="26" t="s">
        <v>3</v>
      </c>
      <c r="D368" s="26" t="s">
        <v>968</v>
      </c>
      <c r="E368" s="26" t="s">
        <v>142</v>
      </c>
      <c r="F368" s="28">
        <v>694924431</v>
      </c>
      <c r="G368" s="26" t="s">
        <v>160</v>
      </c>
      <c r="H368" s="26" t="s">
        <v>325</v>
      </c>
      <c r="I368" s="26" t="s">
        <v>579</v>
      </c>
      <c r="J368" s="30">
        <v>45425</v>
      </c>
      <c r="K368" s="26" t="s">
        <v>546</v>
      </c>
      <c r="L368" s="26" t="s">
        <v>1152</v>
      </c>
      <c r="M368" s="30">
        <v>45425</v>
      </c>
      <c r="N368" s="26" t="s">
        <v>1152</v>
      </c>
      <c r="O368" s="26" t="s">
        <v>582</v>
      </c>
      <c r="P368" s="31">
        <v>30</v>
      </c>
      <c r="Q368" s="31">
        <v>10</v>
      </c>
      <c r="R368" s="26" t="s">
        <v>547</v>
      </c>
      <c r="S368" s="26"/>
      <c r="T368" s="31"/>
      <c r="U368" s="26"/>
      <c r="V368" s="26">
        <f t="shared" si="30"/>
        <v>1</v>
      </c>
      <c r="W368" s="26">
        <f t="shared" si="34"/>
        <v>1</v>
      </c>
      <c r="X368" s="26">
        <f>Data_Base[[#This Row],[B.N Total]]-Data_Base[[#This Row],[Nbre Brachements exécuté]]</f>
        <v>0</v>
      </c>
      <c r="Y368" s="26" t="str">
        <f t="shared" si="31"/>
        <v>vendredi</v>
      </c>
      <c r="Z368" s="26" t="str">
        <f t="shared" si="32"/>
        <v>03</v>
      </c>
      <c r="AA368" s="26" t="str">
        <f t="shared" si="35"/>
        <v>05</v>
      </c>
      <c r="AB368" s="26" t="str">
        <f t="shared" si="33"/>
        <v>2024</v>
      </c>
    </row>
    <row r="369" spans="1:28" x14ac:dyDescent="0.25">
      <c r="A369" s="30">
        <v>45415</v>
      </c>
      <c r="B369" s="26" t="s">
        <v>969</v>
      </c>
      <c r="C369" s="26" t="s">
        <v>66</v>
      </c>
      <c r="D369" s="26" t="s">
        <v>970</v>
      </c>
      <c r="E369" s="26"/>
      <c r="F369" s="28">
        <v>690364675</v>
      </c>
      <c r="G369" s="26" t="s">
        <v>160</v>
      </c>
      <c r="H369" s="26" t="s">
        <v>325</v>
      </c>
      <c r="I369" s="26" t="s">
        <v>579</v>
      </c>
      <c r="J369" s="30">
        <v>45420</v>
      </c>
      <c r="K369" s="26"/>
      <c r="M369" s="30"/>
      <c r="O369" s="26"/>
      <c r="P369" s="31"/>
      <c r="Q369" s="31"/>
      <c r="R369" s="26"/>
      <c r="S369" s="26"/>
      <c r="T369" s="31"/>
      <c r="U369" s="26"/>
      <c r="V369" s="26">
        <f t="shared" si="30"/>
        <v>1</v>
      </c>
      <c r="W369" s="26">
        <f t="shared" si="34"/>
        <v>0</v>
      </c>
      <c r="X369" s="26">
        <f>Data_Base[[#This Row],[B.N Total]]-Data_Base[[#This Row],[Nbre Brachements exécuté]]</f>
        <v>1</v>
      </c>
      <c r="Y369" s="26" t="str">
        <f t="shared" si="31"/>
        <v>vendredi</v>
      </c>
      <c r="Z369" s="26" t="str">
        <f t="shared" si="32"/>
        <v>03</v>
      </c>
      <c r="AA369" s="26" t="str">
        <f t="shared" si="35"/>
        <v>05</v>
      </c>
      <c r="AB369" s="26" t="str">
        <f t="shared" si="33"/>
        <v>2024</v>
      </c>
    </row>
    <row r="370" spans="1:28" x14ac:dyDescent="0.25">
      <c r="A370" s="30">
        <v>45415</v>
      </c>
      <c r="B370" s="26" t="s">
        <v>971</v>
      </c>
      <c r="C370" s="26" t="s">
        <v>66</v>
      </c>
      <c r="D370" s="26" t="s">
        <v>972</v>
      </c>
      <c r="E370" s="26" t="s">
        <v>142</v>
      </c>
      <c r="F370" s="28">
        <v>674537465</v>
      </c>
      <c r="G370" s="26" t="s">
        <v>160</v>
      </c>
      <c r="H370" s="26" t="s">
        <v>161</v>
      </c>
      <c r="I370" s="26" t="s">
        <v>586</v>
      </c>
      <c r="J370" s="30">
        <v>45420</v>
      </c>
      <c r="K370" s="26" t="s">
        <v>546</v>
      </c>
      <c r="L370" s="26" t="s">
        <v>1153</v>
      </c>
      <c r="M370" s="30">
        <v>45420</v>
      </c>
      <c r="N370" s="26" t="s">
        <v>1153</v>
      </c>
      <c r="O370" s="26" t="s">
        <v>582</v>
      </c>
      <c r="P370" s="31">
        <v>15</v>
      </c>
      <c r="Q370" s="31">
        <v>10</v>
      </c>
      <c r="R370" s="26" t="s">
        <v>547</v>
      </c>
      <c r="S370" s="26"/>
      <c r="T370" s="31"/>
      <c r="U370" s="26"/>
      <c r="V370" s="26">
        <f t="shared" si="30"/>
        <v>1</v>
      </c>
      <c r="W370" s="26">
        <f t="shared" si="34"/>
        <v>1</v>
      </c>
      <c r="X370" s="26">
        <f>Data_Base[[#This Row],[B.N Total]]-Data_Base[[#This Row],[Nbre Brachements exécuté]]</f>
        <v>0</v>
      </c>
      <c r="Y370" s="26" t="str">
        <f t="shared" si="31"/>
        <v>vendredi</v>
      </c>
      <c r="Z370" s="26" t="str">
        <f t="shared" si="32"/>
        <v>03</v>
      </c>
      <c r="AA370" s="26" t="str">
        <f t="shared" si="35"/>
        <v>05</v>
      </c>
      <c r="AB370" s="26" t="str">
        <f t="shared" si="33"/>
        <v>2024</v>
      </c>
    </row>
    <row r="371" spans="1:28" x14ac:dyDescent="0.25">
      <c r="A371" s="30">
        <v>45415</v>
      </c>
      <c r="B371" s="26" t="s">
        <v>973</v>
      </c>
      <c r="C371" s="26" t="s">
        <v>66</v>
      </c>
      <c r="D371" s="26" t="s">
        <v>974</v>
      </c>
      <c r="E371" s="26"/>
      <c r="G371" s="26"/>
      <c r="H371" s="26"/>
      <c r="I371" s="26"/>
      <c r="J371" s="30"/>
      <c r="K371" s="26"/>
      <c r="M371" s="30"/>
      <c r="O371" s="26"/>
      <c r="P371" s="31"/>
      <c r="Q371" s="31"/>
      <c r="R371" s="26"/>
      <c r="S371" s="26"/>
      <c r="T371" s="31"/>
      <c r="U371" s="26"/>
      <c r="V371" s="26">
        <f t="shared" si="30"/>
        <v>1</v>
      </c>
      <c r="W371" s="26">
        <f t="shared" si="34"/>
        <v>0</v>
      </c>
      <c r="X371" s="26">
        <f>Data_Base[[#This Row],[B.N Total]]-Data_Base[[#This Row],[Nbre Brachements exécuté]]</f>
        <v>1</v>
      </c>
      <c r="Y371" s="26" t="str">
        <f t="shared" si="31"/>
        <v>vendredi</v>
      </c>
      <c r="Z371" s="26" t="str">
        <f t="shared" si="32"/>
        <v>03</v>
      </c>
      <c r="AA371" s="26" t="str">
        <f t="shared" si="35"/>
        <v>05</v>
      </c>
      <c r="AB371" s="26" t="str">
        <f t="shared" si="33"/>
        <v>2024</v>
      </c>
    </row>
    <row r="372" spans="1:28" x14ac:dyDescent="0.25">
      <c r="A372" s="30">
        <v>45415</v>
      </c>
      <c r="B372" s="26" t="s">
        <v>975</v>
      </c>
      <c r="C372" s="26" t="s">
        <v>66</v>
      </c>
      <c r="D372" s="26" t="s">
        <v>976</v>
      </c>
      <c r="E372" s="26"/>
      <c r="G372" s="26"/>
      <c r="H372" s="26"/>
      <c r="I372" s="26"/>
      <c r="J372" s="30"/>
      <c r="K372" s="26"/>
      <c r="M372" s="30"/>
      <c r="O372" s="26"/>
      <c r="P372" s="31"/>
      <c r="Q372" s="31"/>
      <c r="R372" s="26"/>
      <c r="S372" s="26"/>
      <c r="T372" s="31"/>
      <c r="U372" s="26"/>
      <c r="V372" s="26">
        <f t="shared" si="30"/>
        <v>1</v>
      </c>
      <c r="W372" s="26">
        <f t="shared" si="34"/>
        <v>0</v>
      </c>
      <c r="X372" s="26">
        <f>Data_Base[[#This Row],[B.N Total]]-Data_Base[[#This Row],[Nbre Brachements exécuté]]</f>
        <v>1</v>
      </c>
      <c r="Y372" s="26" t="str">
        <f t="shared" si="31"/>
        <v>vendredi</v>
      </c>
      <c r="Z372" s="26" t="str">
        <f t="shared" si="32"/>
        <v>03</v>
      </c>
      <c r="AA372" s="26" t="str">
        <f t="shared" si="35"/>
        <v>05</v>
      </c>
      <c r="AB372" s="26" t="str">
        <f t="shared" si="33"/>
        <v>2024</v>
      </c>
    </row>
    <row r="373" spans="1:28" x14ac:dyDescent="0.25">
      <c r="A373" s="30">
        <v>45415</v>
      </c>
      <c r="B373" s="26" t="s">
        <v>977</v>
      </c>
      <c r="C373" s="26" t="s">
        <v>66</v>
      </c>
      <c r="D373" s="26" t="s">
        <v>978</v>
      </c>
      <c r="E373" s="26"/>
      <c r="G373" s="26"/>
      <c r="H373" s="26"/>
      <c r="I373" s="26"/>
      <c r="J373" s="30"/>
      <c r="K373" s="26"/>
      <c r="M373" s="30"/>
      <c r="O373" s="26"/>
      <c r="P373" s="31"/>
      <c r="Q373" s="31"/>
      <c r="R373" s="26"/>
      <c r="S373" s="26"/>
      <c r="T373" s="31"/>
      <c r="U373" s="26"/>
      <c r="V373" s="26">
        <f t="shared" si="30"/>
        <v>1</v>
      </c>
      <c r="W373" s="26">
        <f t="shared" si="34"/>
        <v>0</v>
      </c>
      <c r="X373" s="26">
        <f>Data_Base[[#This Row],[B.N Total]]-Data_Base[[#This Row],[Nbre Brachements exécuté]]</f>
        <v>1</v>
      </c>
      <c r="Y373" s="26" t="str">
        <f t="shared" si="31"/>
        <v>vendredi</v>
      </c>
      <c r="Z373" s="26" t="str">
        <f t="shared" si="32"/>
        <v>03</v>
      </c>
      <c r="AA373" s="26" t="str">
        <f t="shared" si="35"/>
        <v>05</v>
      </c>
      <c r="AB373" s="26" t="str">
        <f t="shared" si="33"/>
        <v>2024</v>
      </c>
    </row>
    <row r="374" spans="1:28" x14ac:dyDescent="0.25">
      <c r="A374" s="30">
        <v>45415</v>
      </c>
      <c r="B374" s="26" t="s">
        <v>979</v>
      </c>
      <c r="C374" s="26" t="s">
        <v>66</v>
      </c>
      <c r="D374" s="26" t="s">
        <v>980</v>
      </c>
      <c r="E374" s="26"/>
      <c r="G374" s="26"/>
      <c r="H374" s="26"/>
      <c r="I374" s="26"/>
      <c r="J374" s="30"/>
      <c r="K374" s="26"/>
      <c r="M374" s="30"/>
      <c r="O374" s="26"/>
      <c r="P374" s="31"/>
      <c r="Q374" s="31"/>
      <c r="R374" s="26"/>
      <c r="S374" s="26"/>
      <c r="T374" s="31"/>
      <c r="U374" s="26"/>
      <c r="V374" s="26">
        <f t="shared" si="30"/>
        <v>1</v>
      </c>
      <c r="W374" s="26">
        <f t="shared" si="34"/>
        <v>0</v>
      </c>
      <c r="X374" s="26">
        <f>Data_Base[[#This Row],[B.N Total]]-Data_Base[[#This Row],[Nbre Brachements exécuté]]</f>
        <v>1</v>
      </c>
      <c r="Y374" s="26" t="str">
        <f t="shared" si="31"/>
        <v>vendredi</v>
      </c>
      <c r="Z374" s="26" t="str">
        <f t="shared" si="32"/>
        <v>03</v>
      </c>
      <c r="AA374" s="26" t="str">
        <f t="shared" si="35"/>
        <v>05</v>
      </c>
      <c r="AB374" s="26" t="str">
        <f t="shared" si="33"/>
        <v>2024</v>
      </c>
    </row>
    <row r="375" spans="1:28" x14ac:dyDescent="0.25">
      <c r="A375" s="30">
        <v>45418</v>
      </c>
      <c r="B375" s="26" t="s">
        <v>981</v>
      </c>
      <c r="C375" s="26" t="s">
        <v>2</v>
      </c>
      <c r="D375" s="26" t="s">
        <v>982</v>
      </c>
      <c r="E375" s="26" t="s">
        <v>142</v>
      </c>
      <c r="F375" s="28">
        <v>696473071</v>
      </c>
      <c r="G375" s="26" t="s">
        <v>160</v>
      </c>
      <c r="H375" s="26" t="s">
        <v>567</v>
      </c>
      <c r="I375" s="26" t="s">
        <v>573</v>
      </c>
      <c r="J375" s="30">
        <v>45418</v>
      </c>
      <c r="K375" s="26" t="s">
        <v>546</v>
      </c>
      <c r="L375" s="26" t="s">
        <v>983</v>
      </c>
      <c r="M375" s="30">
        <v>45418</v>
      </c>
      <c r="N375" s="26" t="s">
        <v>983</v>
      </c>
      <c r="O375" s="26" t="s">
        <v>582</v>
      </c>
      <c r="P375" s="31">
        <v>10</v>
      </c>
      <c r="Q375" s="31">
        <v>10</v>
      </c>
      <c r="R375" s="26" t="s">
        <v>547</v>
      </c>
      <c r="S375" s="26"/>
      <c r="T375" s="31" t="s">
        <v>549</v>
      </c>
      <c r="U375" s="26"/>
      <c r="V375" s="26">
        <f t="shared" si="30"/>
        <v>1</v>
      </c>
      <c r="W375" s="26">
        <f t="shared" si="34"/>
        <v>1</v>
      </c>
      <c r="X375" s="26">
        <f>Data_Base[[#This Row],[B.N Total]]-Data_Base[[#This Row],[Nbre Brachements exécuté]]</f>
        <v>0</v>
      </c>
      <c r="Y375" s="26" t="str">
        <f t="shared" si="31"/>
        <v>lundi</v>
      </c>
      <c r="Z375" s="26" t="str">
        <f t="shared" si="32"/>
        <v>06</v>
      </c>
      <c r="AA375" s="26" t="str">
        <f t="shared" si="35"/>
        <v>05</v>
      </c>
      <c r="AB375" s="26" t="str">
        <f t="shared" si="33"/>
        <v>2024</v>
      </c>
    </row>
    <row r="376" spans="1:28" x14ac:dyDescent="0.25">
      <c r="A376" s="30">
        <v>45418</v>
      </c>
      <c r="B376" s="26" t="s">
        <v>981</v>
      </c>
      <c r="C376" s="26" t="s">
        <v>2</v>
      </c>
      <c r="D376" s="26" t="s">
        <v>984</v>
      </c>
      <c r="E376" s="26" t="s">
        <v>142</v>
      </c>
      <c r="F376" s="28">
        <v>696473071</v>
      </c>
      <c r="G376" s="26" t="s">
        <v>160</v>
      </c>
      <c r="H376" s="26" t="s">
        <v>567</v>
      </c>
      <c r="I376" s="26" t="s">
        <v>573</v>
      </c>
      <c r="J376" s="30">
        <v>45418</v>
      </c>
      <c r="K376" s="26" t="s">
        <v>546</v>
      </c>
      <c r="L376" s="26" t="s">
        <v>985</v>
      </c>
      <c r="M376" s="30">
        <v>45418</v>
      </c>
      <c r="N376" s="26" t="s">
        <v>985</v>
      </c>
      <c r="O376" s="26" t="s">
        <v>582</v>
      </c>
      <c r="P376" s="31">
        <v>10</v>
      </c>
      <c r="Q376" s="31">
        <v>10</v>
      </c>
      <c r="R376" s="26" t="s">
        <v>547</v>
      </c>
      <c r="S376" s="26"/>
      <c r="T376" s="31" t="s">
        <v>549</v>
      </c>
      <c r="U376" s="26"/>
      <c r="V376" s="26">
        <f t="shared" si="30"/>
        <v>1</v>
      </c>
      <c r="W376" s="26">
        <f t="shared" si="34"/>
        <v>1</v>
      </c>
      <c r="X376" s="26">
        <f>Data_Base[[#This Row],[B.N Total]]-Data_Base[[#This Row],[Nbre Brachements exécuté]]</f>
        <v>0</v>
      </c>
      <c r="Y376" s="26" t="str">
        <f t="shared" si="31"/>
        <v>lundi</v>
      </c>
      <c r="Z376" s="26" t="str">
        <f t="shared" si="32"/>
        <v>06</v>
      </c>
      <c r="AA376" s="26" t="str">
        <f t="shared" si="35"/>
        <v>05</v>
      </c>
      <c r="AB376" s="26" t="str">
        <f t="shared" si="33"/>
        <v>2024</v>
      </c>
    </row>
    <row r="377" spans="1:28" x14ac:dyDescent="0.25">
      <c r="A377" s="30">
        <v>45418</v>
      </c>
      <c r="B377" s="26" t="s">
        <v>981</v>
      </c>
      <c r="C377" s="26" t="s">
        <v>2</v>
      </c>
      <c r="D377" s="26" t="s">
        <v>986</v>
      </c>
      <c r="E377" s="26" t="s">
        <v>142</v>
      </c>
      <c r="F377" s="28">
        <v>696473071</v>
      </c>
      <c r="G377" s="26" t="s">
        <v>160</v>
      </c>
      <c r="H377" s="26" t="s">
        <v>567</v>
      </c>
      <c r="I377" s="26" t="s">
        <v>573</v>
      </c>
      <c r="J377" s="30">
        <v>45418</v>
      </c>
      <c r="K377" s="26" t="s">
        <v>546</v>
      </c>
      <c r="L377" s="26" t="s">
        <v>987</v>
      </c>
      <c r="M377" s="30">
        <v>45418</v>
      </c>
      <c r="N377" s="26" t="s">
        <v>987</v>
      </c>
      <c r="O377" s="26" t="s">
        <v>582</v>
      </c>
      <c r="P377" s="31">
        <v>10</v>
      </c>
      <c r="Q377" s="31">
        <v>10</v>
      </c>
      <c r="R377" s="26" t="s">
        <v>547</v>
      </c>
      <c r="S377" s="26"/>
      <c r="T377" s="31" t="s">
        <v>549</v>
      </c>
      <c r="U377" s="26"/>
      <c r="V377" s="26">
        <f t="shared" si="30"/>
        <v>1</v>
      </c>
      <c r="W377" s="26">
        <f t="shared" si="34"/>
        <v>1</v>
      </c>
      <c r="X377" s="26">
        <f>Data_Base[[#This Row],[B.N Total]]-Data_Base[[#This Row],[Nbre Brachements exécuté]]</f>
        <v>0</v>
      </c>
      <c r="Y377" s="26" t="str">
        <f t="shared" si="31"/>
        <v>lundi</v>
      </c>
      <c r="Z377" s="26" t="str">
        <f t="shared" si="32"/>
        <v>06</v>
      </c>
      <c r="AA377" s="26" t="str">
        <f t="shared" si="35"/>
        <v>05</v>
      </c>
      <c r="AB377" s="26" t="str">
        <f t="shared" si="33"/>
        <v>2024</v>
      </c>
    </row>
    <row r="378" spans="1:28" x14ac:dyDescent="0.25">
      <c r="A378" s="30">
        <v>45418</v>
      </c>
      <c r="B378" s="26" t="s">
        <v>988</v>
      </c>
      <c r="C378" s="26" t="s">
        <v>2</v>
      </c>
      <c r="D378" s="26" t="s">
        <v>989</v>
      </c>
      <c r="E378" s="26"/>
      <c r="G378" s="26" t="s">
        <v>160</v>
      </c>
      <c r="H378" s="26" t="s">
        <v>567</v>
      </c>
      <c r="I378" s="26"/>
      <c r="J378" s="30"/>
      <c r="K378" s="26"/>
      <c r="M378" s="30"/>
      <c r="O378" s="26"/>
      <c r="P378" s="31"/>
      <c r="Q378" s="31"/>
      <c r="R378" s="26"/>
      <c r="S378" s="26"/>
      <c r="T378" s="31"/>
      <c r="U378" s="26"/>
      <c r="V378" s="26">
        <f t="shared" si="30"/>
        <v>1</v>
      </c>
      <c r="W378" s="26">
        <f t="shared" si="34"/>
        <v>0</v>
      </c>
      <c r="X378" s="26">
        <f>Data_Base[[#This Row],[B.N Total]]-Data_Base[[#This Row],[Nbre Brachements exécuté]]</f>
        <v>1</v>
      </c>
      <c r="Y378" s="26" t="str">
        <f t="shared" si="31"/>
        <v>lundi</v>
      </c>
      <c r="Z378" s="26" t="str">
        <f t="shared" si="32"/>
        <v>06</v>
      </c>
      <c r="AA378" s="26" t="str">
        <f t="shared" si="35"/>
        <v>05</v>
      </c>
      <c r="AB378" s="26" t="str">
        <f t="shared" si="33"/>
        <v>2024</v>
      </c>
    </row>
    <row r="379" spans="1:28" x14ac:dyDescent="0.25">
      <c r="A379" s="30">
        <v>45418</v>
      </c>
      <c r="B379" s="26" t="s">
        <v>990</v>
      </c>
      <c r="C379" s="26" t="s">
        <v>2</v>
      </c>
      <c r="D379" s="26" t="s">
        <v>991</v>
      </c>
      <c r="E379" s="26"/>
      <c r="G379" s="26"/>
      <c r="H379" s="26"/>
      <c r="I379" s="26"/>
      <c r="J379" s="30"/>
      <c r="K379" s="26"/>
      <c r="M379" s="30"/>
      <c r="O379" s="26"/>
      <c r="P379" s="31"/>
      <c r="Q379" s="31"/>
      <c r="R379" s="26"/>
      <c r="S379" s="26"/>
      <c r="T379" s="31"/>
      <c r="U379" s="26"/>
      <c r="V379" s="26">
        <f t="shared" si="30"/>
        <v>1</v>
      </c>
      <c r="W379" s="26">
        <f t="shared" si="34"/>
        <v>0</v>
      </c>
      <c r="X379" s="26">
        <f>Data_Base[[#This Row],[B.N Total]]-Data_Base[[#This Row],[Nbre Brachements exécuté]]</f>
        <v>1</v>
      </c>
      <c r="Y379" s="26" t="str">
        <f t="shared" si="31"/>
        <v>lundi</v>
      </c>
      <c r="Z379" s="26" t="str">
        <f t="shared" si="32"/>
        <v>06</v>
      </c>
      <c r="AA379" s="26" t="str">
        <f t="shared" si="35"/>
        <v>05</v>
      </c>
      <c r="AB379" s="26" t="str">
        <f t="shared" si="33"/>
        <v>2024</v>
      </c>
    </row>
    <row r="380" spans="1:28" x14ac:dyDescent="0.25">
      <c r="A380" s="30">
        <v>45418</v>
      </c>
      <c r="B380" s="26" t="s">
        <v>992</v>
      </c>
      <c r="C380" s="26" t="s">
        <v>2</v>
      </c>
      <c r="D380" s="26" t="s">
        <v>993</v>
      </c>
      <c r="E380" s="26"/>
      <c r="F380" s="28">
        <v>694952267</v>
      </c>
      <c r="G380" s="26" t="s">
        <v>160</v>
      </c>
      <c r="H380" s="26" t="s">
        <v>161</v>
      </c>
      <c r="I380" s="26" t="s">
        <v>586</v>
      </c>
      <c r="J380" s="30">
        <v>45425</v>
      </c>
      <c r="K380" s="26"/>
      <c r="M380" s="30"/>
      <c r="O380" s="26"/>
      <c r="P380" s="31"/>
      <c r="Q380" s="31"/>
      <c r="R380" s="26"/>
      <c r="S380" s="26"/>
      <c r="T380" s="31"/>
      <c r="U380" s="26"/>
      <c r="V380" s="26">
        <f t="shared" si="30"/>
        <v>1</v>
      </c>
      <c r="W380" s="26">
        <f t="shared" si="34"/>
        <v>0</v>
      </c>
      <c r="X380" s="26">
        <f>Data_Base[[#This Row],[B.N Total]]-Data_Base[[#This Row],[Nbre Brachements exécuté]]</f>
        <v>1</v>
      </c>
      <c r="Y380" s="26" t="str">
        <f t="shared" si="31"/>
        <v>lundi</v>
      </c>
      <c r="Z380" s="26" t="str">
        <f t="shared" si="32"/>
        <v>06</v>
      </c>
      <c r="AA380" s="26" t="str">
        <f t="shared" si="35"/>
        <v>05</v>
      </c>
      <c r="AB380" s="26" t="str">
        <f t="shared" si="33"/>
        <v>2024</v>
      </c>
    </row>
    <row r="381" spans="1:28" x14ac:dyDescent="0.25">
      <c r="A381" s="30">
        <v>45418</v>
      </c>
      <c r="B381" s="26" t="s">
        <v>994</v>
      </c>
      <c r="C381" s="26" t="s">
        <v>2</v>
      </c>
      <c r="D381" s="26" t="s">
        <v>995</v>
      </c>
      <c r="E381" s="26"/>
      <c r="G381" s="26"/>
      <c r="H381" s="26"/>
      <c r="I381" s="26"/>
      <c r="J381" s="30"/>
      <c r="K381" s="26"/>
      <c r="M381" s="30"/>
      <c r="O381" s="26"/>
      <c r="P381" s="31"/>
      <c r="Q381" s="31"/>
      <c r="R381" s="26"/>
      <c r="S381" s="26"/>
      <c r="T381" s="31"/>
      <c r="U381" s="26"/>
      <c r="V381" s="26">
        <f t="shared" si="30"/>
        <v>1</v>
      </c>
      <c r="W381" s="26">
        <f t="shared" si="34"/>
        <v>0</v>
      </c>
      <c r="X381" s="26">
        <f>Data_Base[[#This Row],[B.N Total]]-Data_Base[[#This Row],[Nbre Brachements exécuté]]</f>
        <v>1</v>
      </c>
      <c r="Y381" s="26" t="str">
        <f t="shared" si="31"/>
        <v>lundi</v>
      </c>
      <c r="Z381" s="26" t="str">
        <f t="shared" si="32"/>
        <v>06</v>
      </c>
      <c r="AA381" s="26" t="str">
        <f t="shared" si="35"/>
        <v>05</v>
      </c>
      <c r="AB381" s="26" t="str">
        <f t="shared" si="33"/>
        <v>2024</v>
      </c>
    </row>
    <row r="382" spans="1:28" x14ac:dyDescent="0.25">
      <c r="A382" s="30">
        <v>45418</v>
      </c>
      <c r="B382" s="26" t="s">
        <v>996</v>
      </c>
      <c r="C382" s="26" t="s">
        <v>2</v>
      </c>
      <c r="D382" s="26" t="s">
        <v>997</v>
      </c>
      <c r="E382" s="26"/>
      <c r="F382" s="28">
        <v>651864146</v>
      </c>
      <c r="G382" s="26" t="s">
        <v>160</v>
      </c>
      <c r="H382" s="26" t="s">
        <v>161</v>
      </c>
      <c r="I382" s="26" t="s">
        <v>586</v>
      </c>
      <c r="J382" s="30">
        <v>45425</v>
      </c>
      <c r="K382" s="26"/>
      <c r="M382" s="30"/>
      <c r="O382" s="26"/>
      <c r="P382" s="31"/>
      <c r="Q382" s="31"/>
      <c r="R382" s="26"/>
      <c r="S382" s="26"/>
      <c r="T382" s="31"/>
      <c r="U382" s="26"/>
      <c r="V382" s="26">
        <f t="shared" si="30"/>
        <v>1</v>
      </c>
      <c r="W382" s="26">
        <f t="shared" si="34"/>
        <v>0</v>
      </c>
      <c r="X382" s="26">
        <f>Data_Base[[#This Row],[B.N Total]]-Data_Base[[#This Row],[Nbre Brachements exécuté]]</f>
        <v>1</v>
      </c>
      <c r="Y382" s="26" t="str">
        <f t="shared" si="31"/>
        <v>lundi</v>
      </c>
      <c r="Z382" s="26" t="str">
        <f t="shared" si="32"/>
        <v>06</v>
      </c>
      <c r="AA382" s="26" t="str">
        <f t="shared" si="35"/>
        <v>05</v>
      </c>
      <c r="AB382" s="26" t="str">
        <f t="shared" si="33"/>
        <v>2024</v>
      </c>
    </row>
    <row r="383" spans="1:28" x14ac:dyDescent="0.25">
      <c r="A383" s="30">
        <v>45418</v>
      </c>
      <c r="B383" s="26" t="s">
        <v>998</v>
      </c>
      <c r="C383" s="26" t="s">
        <v>2</v>
      </c>
      <c r="D383" s="26" t="s">
        <v>999</v>
      </c>
      <c r="E383" s="26"/>
      <c r="G383" s="26"/>
      <c r="H383" s="26"/>
      <c r="I383" s="26"/>
      <c r="J383" s="30"/>
      <c r="K383" s="26"/>
      <c r="M383" s="30"/>
      <c r="O383" s="26"/>
      <c r="P383" s="31"/>
      <c r="Q383" s="31"/>
      <c r="R383" s="26"/>
      <c r="S383" s="26"/>
      <c r="T383" s="31"/>
      <c r="U383" s="26"/>
      <c r="V383" s="26">
        <f t="shared" si="30"/>
        <v>1</v>
      </c>
      <c r="W383" s="26">
        <f t="shared" si="34"/>
        <v>0</v>
      </c>
      <c r="X383" s="26">
        <f>Data_Base[[#This Row],[B.N Total]]-Data_Base[[#This Row],[Nbre Brachements exécuté]]</f>
        <v>1</v>
      </c>
      <c r="Y383" s="26" t="str">
        <f t="shared" si="31"/>
        <v>lundi</v>
      </c>
      <c r="Z383" s="26" t="str">
        <f t="shared" si="32"/>
        <v>06</v>
      </c>
      <c r="AA383" s="26" t="str">
        <f t="shared" si="35"/>
        <v>05</v>
      </c>
      <c r="AB383" s="26" t="str">
        <f t="shared" si="33"/>
        <v>2024</v>
      </c>
    </row>
    <row r="384" spans="1:28" x14ac:dyDescent="0.25">
      <c r="A384" s="30">
        <v>45418</v>
      </c>
      <c r="B384" s="26" t="s">
        <v>1000</v>
      </c>
      <c r="C384" s="26" t="s">
        <v>66</v>
      </c>
      <c r="E384" s="26"/>
      <c r="G384" s="26"/>
      <c r="H384" s="26"/>
      <c r="I384" s="26"/>
      <c r="J384" s="30"/>
      <c r="K384" s="26"/>
      <c r="M384" s="30"/>
      <c r="O384" s="26"/>
      <c r="P384" s="31"/>
      <c r="Q384" s="31"/>
      <c r="R384" s="26"/>
      <c r="S384" s="26"/>
      <c r="T384" s="31"/>
      <c r="U384" s="26"/>
      <c r="V384" s="26">
        <f t="shared" si="30"/>
        <v>1</v>
      </c>
      <c r="W384" s="26">
        <f t="shared" si="34"/>
        <v>0</v>
      </c>
      <c r="X384" s="26">
        <f>Data_Base[[#This Row],[B.N Total]]-Data_Base[[#This Row],[Nbre Brachements exécuté]]</f>
        <v>1</v>
      </c>
      <c r="Y384" s="26" t="str">
        <f t="shared" si="31"/>
        <v>lundi</v>
      </c>
      <c r="Z384" s="26" t="str">
        <f t="shared" si="32"/>
        <v>06</v>
      </c>
      <c r="AA384" s="26" t="str">
        <f t="shared" si="35"/>
        <v>05</v>
      </c>
      <c r="AB384" s="26" t="str">
        <f t="shared" si="33"/>
        <v>2024</v>
      </c>
    </row>
    <row r="385" spans="1:28" x14ac:dyDescent="0.25">
      <c r="A385" s="30">
        <v>45418</v>
      </c>
      <c r="B385" s="26" t="s">
        <v>505</v>
      </c>
      <c r="C385" s="26" t="s">
        <v>66</v>
      </c>
      <c r="D385" s="26" t="s">
        <v>102</v>
      </c>
      <c r="E385" s="26"/>
      <c r="G385" s="26" t="s">
        <v>160</v>
      </c>
      <c r="H385" s="26" t="s">
        <v>325</v>
      </c>
      <c r="I385" s="26" t="s">
        <v>579</v>
      </c>
      <c r="J385" s="30">
        <v>45419</v>
      </c>
      <c r="K385" s="26"/>
      <c r="M385" s="30"/>
      <c r="O385" s="26"/>
      <c r="P385" s="31"/>
      <c r="Q385" s="31"/>
      <c r="R385" s="26"/>
      <c r="S385" s="26"/>
      <c r="T385" s="31"/>
      <c r="U385" s="26"/>
      <c r="V385" s="26">
        <f t="shared" si="30"/>
        <v>1</v>
      </c>
      <c r="W385" s="26">
        <f t="shared" si="34"/>
        <v>0</v>
      </c>
      <c r="X385" s="26">
        <f>Data_Base[[#This Row],[B.N Total]]-Data_Base[[#This Row],[Nbre Brachements exécuté]]</f>
        <v>1</v>
      </c>
      <c r="Y385" s="26" t="str">
        <f t="shared" si="31"/>
        <v>lundi</v>
      </c>
      <c r="Z385" s="26" t="str">
        <f t="shared" si="32"/>
        <v>06</v>
      </c>
      <c r="AA385" s="26" t="str">
        <f t="shared" si="35"/>
        <v>05</v>
      </c>
      <c r="AB385" s="26" t="str">
        <f t="shared" si="33"/>
        <v>2024</v>
      </c>
    </row>
    <row r="386" spans="1:28" x14ac:dyDescent="0.25">
      <c r="A386" s="30">
        <v>45418</v>
      </c>
      <c r="B386" s="26" t="s">
        <v>505</v>
      </c>
      <c r="C386" s="26" t="s">
        <v>66</v>
      </c>
      <c r="D386" s="26" t="s">
        <v>103</v>
      </c>
      <c r="E386" s="26"/>
      <c r="G386" s="26" t="s">
        <v>160</v>
      </c>
      <c r="H386" s="26" t="s">
        <v>325</v>
      </c>
      <c r="I386" s="26" t="s">
        <v>579</v>
      </c>
      <c r="J386" s="30">
        <v>45419</v>
      </c>
      <c r="K386" s="26"/>
      <c r="M386" s="30"/>
      <c r="O386" s="26"/>
      <c r="P386" s="31"/>
      <c r="Q386" s="31"/>
      <c r="R386" s="26"/>
      <c r="S386" s="26"/>
      <c r="T386" s="31"/>
      <c r="U386" s="26"/>
      <c r="V386" s="26">
        <f t="shared" ref="V386:V449" si="36">COUNTA(B386)</f>
        <v>1</v>
      </c>
      <c r="W386" s="26">
        <f t="shared" si="34"/>
        <v>0</v>
      </c>
      <c r="X386" s="26">
        <f>Data_Base[[#This Row],[B.N Total]]-Data_Base[[#This Row],[Nbre Brachements exécuté]]</f>
        <v>1</v>
      </c>
      <c r="Y386" s="26" t="str">
        <f t="shared" ref="Y386:Y449" si="37">IF(A386=""," ",TEXT(A386,"jjjj"))</f>
        <v>lundi</v>
      </c>
      <c r="Z386" s="26" t="str">
        <f t="shared" ref="Z386:Z449" si="38">IF(A386="","",TEXT(A386,"jj"))</f>
        <v>06</v>
      </c>
      <c r="AA386" s="26" t="str">
        <f t="shared" si="35"/>
        <v>05</v>
      </c>
      <c r="AB386" s="26" t="str">
        <f t="shared" ref="AB386:AB449" si="39">IF(A386=""," ",TEXT(A386,"aaaa"))</f>
        <v>2024</v>
      </c>
    </row>
    <row r="387" spans="1:28" x14ac:dyDescent="0.25">
      <c r="A387" s="30">
        <v>45418</v>
      </c>
      <c r="B387" s="26" t="s">
        <v>1001</v>
      </c>
      <c r="C387" s="26" t="s">
        <v>3</v>
      </c>
      <c r="D387" s="26" t="s">
        <v>1002</v>
      </c>
      <c r="E387" s="26"/>
      <c r="F387" s="28">
        <v>651894122</v>
      </c>
      <c r="G387" s="26" t="s">
        <v>160</v>
      </c>
      <c r="H387" s="26" t="s">
        <v>161</v>
      </c>
      <c r="I387" s="26" t="s">
        <v>586</v>
      </c>
      <c r="J387" s="30">
        <v>45425</v>
      </c>
      <c r="K387" s="26"/>
      <c r="M387" s="30"/>
      <c r="O387" s="26"/>
      <c r="P387" s="31"/>
      <c r="Q387" s="31"/>
      <c r="R387" s="26"/>
      <c r="S387" s="26"/>
      <c r="T387" s="31"/>
      <c r="U387" s="26"/>
      <c r="V387" s="26">
        <f t="shared" si="36"/>
        <v>1</v>
      </c>
      <c r="W387" s="26">
        <f t="shared" ref="W387:W450" si="40">COUNTA(N387)</f>
        <v>0</v>
      </c>
      <c r="X387" s="26">
        <f>Data_Base[[#This Row],[B.N Total]]-Data_Base[[#This Row],[Nbre Brachements exécuté]]</f>
        <v>1</v>
      </c>
      <c r="Y387" s="26" t="str">
        <f t="shared" si="37"/>
        <v>lundi</v>
      </c>
      <c r="Z387" s="26" t="str">
        <f t="shared" si="38"/>
        <v>06</v>
      </c>
      <c r="AA387" s="26" t="str">
        <f t="shared" ref="AA387:AA450" si="41">IF(A387=""," ",TEXT(A387,"mm"))</f>
        <v>05</v>
      </c>
      <c r="AB387" s="26" t="str">
        <f t="shared" si="39"/>
        <v>2024</v>
      </c>
    </row>
    <row r="388" spans="1:28" x14ac:dyDescent="0.25">
      <c r="A388" s="30">
        <v>45418</v>
      </c>
      <c r="B388" s="26" t="s">
        <v>1003</v>
      </c>
      <c r="C388" s="26" t="s">
        <v>3</v>
      </c>
      <c r="D388" s="26" t="s">
        <v>1004</v>
      </c>
      <c r="E388" s="26"/>
      <c r="G388" s="26"/>
      <c r="H388" s="26"/>
      <c r="I388" s="26"/>
      <c r="J388" s="30"/>
      <c r="K388" s="26"/>
      <c r="M388" s="30"/>
      <c r="O388" s="26"/>
      <c r="P388" s="31"/>
      <c r="Q388" s="31"/>
      <c r="R388" s="26"/>
      <c r="S388" s="26"/>
      <c r="T388" s="31"/>
      <c r="U388" s="26"/>
      <c r="V388" s="26">
        <f t="shared" si="36"/>
        <v>1</v>
      </c>
      <c r="W388" s="26">
        <f t="shared" si="40"/>
        <v>0</v>
      </c>
      <c r="X388" s="26">
        <f>Data_Base[[#This Row],[B.N Total]]-Data_Base[[#This Row],[Nbre Brachements exécuté]]</f>
        <v>1</v>
      </c>
      <c r="Y388" s="26" t="str">
        <f t="shared" si="37"/>
        <v>lundi</v>
      </c>
      <c r="Z388" s="26" t="str">
        <f t="shared" si="38"/>
        <v>06</v>
      </c>
      <c r="AA388" s="26" t="str">
        <f t="shared" si="41"/>
        <v>05</v>
      </c>
      <c r="AB388" s="26" t="str">
        <f t="shared" si="39"/>
        <v>2024</v>
      </c>
    </row>
    <row r="389" spans="1:28" x14ac:dyDescent="0.25">
      <c r="A389" s="30">
        <v>45418</v>
      </c>
      <c r="B389" s="26" t="s">
        <v>1005</v>
      </c>
      <c r="C389" s="26" t="s">
        <v>2</v>
      </c>
      <c r="D389" s="26" t="s">
        <v>1006</v>
      </c>
      <c r="E389" s="26"/>
      <c r="G389" s="26"/>
      <c r="H389" s="26"/>
      <c r="I389" s="26"/>
      <c r="J389" s="30"/>
      <c r="K389" s="26"/>
      <c r="M389" s="30"/>
      <c r="O389" s="26"/>
      <c r="P389" s="31"/>
      <c r="Q389" s="31"/>
      <c r="R389" s="26"/>
      <c r="S389" s="26"/>
      <c r="T389" s="31"/>
      <c r="U389" s="26"/>
      <c r="V389" s="26">
        <f t="shared" si="36"/>
        <v>1</v>
      </c>
      <c r="W389" s="26">
        <f t="shared" si="40"/>
        <v>0</v>
      </c>
      <c r="X389" s="26">
        <f>Data_Base[[#This Row],[B.N Total]]-Data_Base[[#This Row],[Nbre Brachements exécuté]]</f>
        <v>1</v>
      </c>
      <c r="Y389" s="26" t="str">
        <f t="shared" si="37"/>
        <v>lundi</v>
      </c>
      <c r="Z389" s="26" t="str">
        <f t="shared" si="38"/>
        <v>06</v>
      </c>
      <c r="AA389" s="26" t="str">
        <f t="shared" si="41"/>
        <v>05</v>
      </c>
      <c r="AB389" s="26" t="str">
        <f t="shared" si="39"/>
        <v>2024</v>
      </c>
    </row>
    <row r="390" spans="1:28" x14ac:dyDescent="0.25">
      <c r="A390" s="30">
        <v>45418</v>
      </c>
      <c r="B390" s="26" t="s">
        <v>1007</v>
      </c>
      <c r="C390" s="26" t="s">
        <v>2</v>
      </c>
      <c r="D390" s="26" t="s">
        <v>1008</v>
      </c>
      <c r="E390" s="26"/>
      <c r="G390" s="26"/>
      <c r="H390" s="26"/>
      <c r="I390" s="26"/>
      <c r="J390" s="30"/>
      <c r="K390" s="26"/>
      <c r="M390" s="30"/>
      <c r="O390" s="26"/>
      <c r="P390" s="31"/>
      <c r="Q390" s="31"/>
      <c r="R390" s="26"/>
      <c r="S390" s="26"/>
      <c r="T390" s="31"/>
      <c r="U390" s="26"/>
      <c r="V390" s="26">
        <f t="shared" si="36"/>
        <v>1</v>
      </c>
      <c r="W390" s="26">
        <f t="shared" si="40"/>
        <v>0</v>
      </c>
      <c r="X390" s="26">
        <f>Data_Base[[#This Row],[B.N Total]]-Data_Base[[#This Row],[Nbre Brachements exécuté]]</f>
        <v>1</v>
      </c>
      <c r="Y390" s="26" t="str">
        <f t="shared" si="37"/>
        <v>lundi</v>
      </c>
      <c r="Z390" s="26" t="str">
        <f t="shared" si="38"/>
        <v>06</v>
      </c>
      <c r="AA390" s="26" t="str">
        <f t="shared" si="41"/>
        <v>05</v>
      </c>
      <c r="AB390" s="26" t="str">
        <f t="shared" si="39"/>
        <v>2024</v>
      </c>
    </row>
    <row r="391" spans="1:28" x14ac:dyDescent="0.25">
      <c r="A391" s="30">
        <v>45418</v>
      </c>
      <c r="B391" s="26" t="s">
        <v>481</v>
      </c>
      <c r="C391" s="26" t="s">
        <v>2</v>
      </c>
      <c r="D391" s="26" t="s">
        <v>482</v>
      </c>
      <c r="E391" s="26" t="s">
        <v>142</v>
      </c>
      <c r="F391" s="28" t="s">
        <v>615</v>
      </c>
      <c r="G391" s="26" t="s">
        <v>160</v>
      </c>
      <c r="H391" s="26" t="s">
        <v>325</v>
      </c>
      <c r="I391" s="26" t="s">
        <v>579</v>
      </c>
      <c r="J391" s="30">
        <v>45419</v>
      </c>
      <c r="K391" s="26"/>
      <c r="M391" s="30"/>
      <c r="O391" s="26"/>
      <c r="P391" s="31"/>
      <c r="Q391" s="31"/>
      <c r="R391" s="26"/>
      <c r="S391" s="26"/>
      <c r="T391" s="31"/>
      <c r="U391" s="26"/>
      <c r="V391" s="26">
        <f t="shared" si="36"/>
        <v>1</v>
      </c>
      <c r="W391" s="26">
        <f t="shared" si="40"/>
        <v>0</v>
      </c>
      <c r="X391" s="26">
        <f>Data_Base[[#This Row],[B.N Total]]-Data_Base[[#This Row],[Nbre Brachements exécuté]]</f>
        <v>1</v>
      </c>
      <c r="Y391" s="26" t="str">
        <f t="shared" si="37"/>
        <v>lundi</v>
      </c>
      <c r="Z391" s="26" t="str">
        <f t="shared" si="38"/>
        <v>06</v>
      </c>
      <c r="AA391" s="26" t="str">
        <f t="shared" si="41"/>
        <v>05</v>
      </c>
      <c r="AB391" s="26" t="str">
        <f t="shared" si="39"/>
        <v>2024</v>
      </c>
    </row>
    <row r="392" spans="1:28" x14ac:dyDescent="0.25">
      <c r="A392" s="30">
        <v>45418</v>
      </c>
      <c r="B392" s="26" t="s">
        <v>1009</v>
      </c>
      <c r="C392" s="26" t="s">
        <v>3</v>
      </c>
      <c r="D392" s="26" t="s">
        <v>1010</v>
      </c>
      <c r="E392" s="26"/>
      <c r="G392" s="26"/>
      <c r="H392" s="26"/>
      <c r="I392" s="26"/>
      <c r="J392" s="30"/>
      <c r="K392" s="26"/>
      <c r="M392" s="30"/>
      <c r="O392" s="26"/>
      <c r="P392" s="31"/>
      <c r="Q392" s="31"/>
      <c r="R392" s="26"/>
      <c r="S392" s="26"/>
      <c r="T392" s="31"/>
      <c r="U392" s="26"/>
      <c r="V392" s="26">
        <f t="shared" si="36"/>
        <v>1</v>
      </c>
      <c r="W392" s="26">
        <f t="shared" si="40"/>
        <v>0</v>
      </c>
      <c r="X392" s="26">
        <f>Data_Base[[#This Row],[B.N Total]]-Data_Base[[#This Row],[Nbre Brachements exécuté]]</f>
        <v>1</v>
      </c>
      <c r="Y392" s="26" t="str">
        <f t="shared" si="37"/>
        <v>lundi</v>
      </c>
      <c r="Z392" s="26" t="str">
        <f t="shared" si="38"/>
        <v>06</v>
      </c>
      <c r="AA392" s="26" t="str">
        <f t="shared" si="41"/>
        <v>05</v>
      </c>
      <c r="AB392" s="26" t="str">
        <f t="shared" si="39"/>
        <v>2024</v>
      </c>
    </row>
    <row r="393" spans="1:28" x14ac:dyDescent="0.25">
      <c r="A393" s="30">
        <v>45418</v>
      </c>
      <c r="B393" s="26" t="s">
        <v>1011</v>
      </c>
      <c r="C393" s="26" t="s">
        <v>66</v>
      </c>
      <c r="D393" s="26" t="s">
        <v>1012</v>
      </c>
      <c r="E393" s="26"/>
      <c r="G393" s="26"/>
      <c r="H393" s="26"/>
      <c r="I393" s="26"/>
      <c r="J393" s="30"/>
      <c r="K393" s="26"/>
      <c r="M393" s="30"/>
      <c r="O393" s="26"/>
      <c r="P393" s="31"/>
      <c r="Q393" s="31"/>
      <c r="R393" s="26"/>
      <c r="S393" s="26"/>
      <c r="T393" s="31"/>
      <c r="U393" s="26"/>
      <c r="V393" s="26">
        <f t="shared" si="36"/>
        <v>1</v>
      </c>
      <c r="W393" s="26">
        <f t="shared" si="40"/>
        <v>0</v>
      </c>
      <c r="X393" s="26">
        <f>Data_Base[[#This Row],[B.N Total]]-Data_Base[[#This Row],[Nbre Brachements exécuté]]</f>
        <v>1</v>
      </c>
      <c r="Y393" s="26" t="str">
        <f t="shared" si="37"/>
        <v>lundi</v>
      </c>
      <c r="Z393" s="26" t="str">
        <f t="shared" si="38"/>
        <v>06</v>
      </c>
      <c r="AA393" s="26" t="str">
        <f t="shared" si="41"/>
        <v>05</v>
      </c>
      <c r="AB393" s="26" t="str">
        <f t="shared" si="39"/>
        <v>2024</v>
      </c>
    </row>
    <row r="394" spans="1:28" x14ac:dyDescent="0.25">
      <c r="A394" s="30">
        <v>45418</v>
      </c>
      <c r="B394" s="26" t="s">
        <v>1013</v>
      </c>
      <c r="C394" s="26" t="s">
        <v>66</v>
      </c>
      <c r="D394" s="26" t="s">
        <v>1014</v>
      </c>
      <c r="E394" s="26" t="s">
        <v>142</v>
      </c>
      <c r="F394" s="28">
        <v>655817378</v>
      </c>
      <c r="G394" s="26" t="s">
        <v>160</v>
      </c>
      <c r="H394" s="26" t="s">
        <v>325</v>
      </c>
      <c r="I394" s="26" t="s">
        <v>579</v>
      </c>
      <c r="J394" s="30">
        <v>45419</v>
      </c>
      <c r="K394" s="26" t="s">
        <v>546</v>
      </c>
      <c r="L394" s="26" t="s">
        <v>1015</v>
      </c>
      <c r="M394" s="30">
        <v>45419</v>
      </c>
      <c r="N394" s="26" t="s">
        <v>1015</v>
      </c>
      <c r="O394" s="26" t="s">
        <v>582</v>
      </c>
      <c r="P394" s="31">
        <v>30</v>
      </c>
      <c r="Q394" s="31">
        <v>10</v>
      </c>
      <c r="R394" s="26" t="s">
        <v>547</v>
      </c>
      <c r="S394" s="26"/>
      <c r="T394" s="31"/>
      <c r="U394" s="26"/>
      <c r="V394" s="26">
        <f t="shared" si="36"/>
        <v>1</v>
      </c>
      <c r="W394" s="26">
        <f t="shared" si="40"/>
        <v>1</v>
      </c>
      <c r="X394" s="26">
        <f>Data_Base[[#This Row],[B.N Total]]-Data_Base[[#This Row],[Nbre Brachements exécuté]]</f>
        <v>0</v>
      </c>
      <c r="Y394" s="26" t="str">
        <f t="shared" si="37"/>
        <v>lundi</v>
      </c>
      <c r="Z394" s="26" t="str">
        <f t="shared" si="38"/>
        <v>06</v>
      </c>
      <c r="AA394" s="26" t="str">
        <f t="shared" si="41"/>
        <v>05</v>
      </c>
      <c r="AB394" s="26" t="str">
        <f t="shared" si="39"/>
        <v>2024</v>
      </c>
    </row>
    <row r="395" spans="1:28" x14ac:dyDescent="0.25">
      <c r="A395" s="30">
        <v>45418</v>
      </c>
      <c r="B395" s="26" t="s">
        <v>1016</v>
      </c>
      <c r="C395" s="26" t="s">
        <v>66</v>
      </c>
      <c r="D395" s="26" t="s">
        <v>1017</v>
      </c>
      <c r="E395" s="26"/>
      <c r="F395" s="28">
        <v>655817378</v>
      </c>
      <c r="G395" s="26"/>
      <c r="H395" s="26"/>
      <c r="I395" s="26"/>
      <c r="J395" s="30">
        <v>45419</v>
      </c>
      <c r="K395" s="26"/>
      <c r="M395" s="30">
        <v>45419</v>
      </c>
      <c r="N395" s="26" t="s">
        <v>1018</v>
      </c>
      <c r="O395" s="26" t="s">
        <v>582</v>
      </c>
      <c r="P395" s="31">
        <v>15</v>
      </c>
      <c r="Q395" s="31"/>
      <c r="R395" s="26"/>
      <c r="S395" s="26"/>
      <c r="T395" s="31"/>
      <c r="U395" s="26"/>
      <c r="V395" s="26">
        <f t="shared" si="36"/>
        <v>1</v>
      </c>
      <c r="W395" s="26">
        <f t="shared" si="40"/>
        <v>1</v>
      </c>
      <c r="X395" s="26">
        <f>Data_Base[[#This Row],[B.N Total]]-Data_Base[[#This Row],[Nbre Brachements exécuté]]</f>
        <v>0</v>
      </c>
      <c r="Y395" s="26" t="str">
        <f t="shared" si="37"/>
        <v>lundi</v>
      </c>
      <c r="Z395" s="26" t="str">
        <f t="shared" si="38"/>
        <v>06</v>
      </c>
      <c r="AA395" s="26" t="str">
        <f t="shared" si="41"/>
        <v>05</v>
      </c>
      <c r="AB395" s="26" t="str">
        <f t="shared" si="39"/>
        <v>2024</v>
      </c>
    </row>
    <row r="396" spans="1:28" x14ac:dyDescent="0.25">
      <c r="A396" s="30">
        <v>45418</v>
      </c>
      <c r="B396" s="26" t="s">
        <v>1019</v>
      </c>
      <c r="C396" s="26" t="s">
        <v>66</v>
      </c>
      <c r="D396" s="26" t="s">
        <v>1020</v>
      </c>
      <c r="E396" s="26"/>
      <c r="F396" s="28">
        <v>655817378</v>
      </c>
      <c r="G396" s="26" t="s">
        <v>160</v>
      </c>
      <c r="H396" s="26" t="s">
        <v>177</v>
      </c>
      <c r="I396" s="26" t="s">
        <v>1146</v>
      </c>
      <c r="J396" s="30">
        <v>45425</v>
      </c>
      <c r="K396" s="26" t="s">
        <v>546</v>
      </c>
      <c r="M396" s="30"/>
      <c r="O396" s="26" t="s">
        <v>582</v>
      </c>
      <c r="P396" s="31">
        <v>15</v>
      </c>
      <c r="Q396" s="31"/>
      <c r="R396" s="26"/>
      <c r="S396" s="26"/>
      <c r="T396" s="31"/>
      <c r="U396" s="26"/>
      <c r="V396" s="26">
        <f t="shared" si="36"/>
        <v>1</v>
      </c>
      <c r="W396" s="26">
        <f t="shared" si="40"/>
        <v>0</v>
      </c>
      <c r="X396" s="26">
        <f>Data_Base[[#This Row],[B.N Total]]-Data_Base[[#This Row],[Nbre Brachements exécuté]]</f>
        <v>1</v>
      </c>
      <c r="Y396" s="26" t="str">
        <f t="shared" si="37"/>
        <v>lundi</v>
      </c>
      <c r="Z396" s="26" t="str">
        <f t="shared" si="38"/>
        <v>06</v>
      </c>
      <c r="AA396" s="26" t="str">
        <f t="shared" si="41"/>
        <v>05</v>
      </c>
      <c r="AB396" s="26" t="str">
        <f t="shared" si="39"/>
        <v>2024</v>
      </c>
    </row>
    <row r="397" spans="1:28" x14ac:dyDescent="0.25">
      <c r="A397" s="30">
        <v>45418</v>
      </c>
      <c r="B397" s="26" t="s">
        <v>1022</v>
      </c>
      <c r="C397" s="26" t="s">
        <v>66</v>
      </c>
      <c r="D397" s="26" t="s">
        <v>1023</v>
      </c>
      <c r="E397" s="26"/>
      <c r="G397" s="26"/>
      <c r="H397" s="26"/>
      <c r="I397" s="26"/>
      <c r="J397" s="30"/>
      <c r="K397" s="26"/>
      <c r="M397" s="30"/>
      <c r="O397" s="26"/>
      <c r="P397" s="31"/>
      <c r="Q397" s="31"/>
      <c r="R397" s="26"/>
      <c r="S397" s="26"/>
      <c r="T397" s="31"/>
      <c r="U397" s="26"/>
      <c r="V397" s="26">
        <f t="shared" si="36"/>
        <v>1</v>
      </c>
      <c r="W397" s="26">
        <f t="shared" si="40"/>
        <v>0</v>
      </c>
      <c r="X397" s="26">
        <f>Data_Base[[#This Row],[B.N Total]]-Data_Base[[#This Row],[Nbre Brachements exécuté]]</f>
        <v>1</v>
      </c>
      <c r="Y397" s="26" t="str">
        <f t="shared" si="37"/>
        <v>lundi</v>
      </c>
      <c r="Z397" s="26" t="str">
        <f t="shared" si="38"/>
        <v>06</v>
      </c>
      <c r="AA397" s="26" t="str">
        <f t="shared" si="41"/>
        <v>05</v>
      </c>
      <c r="AB397" s="26" t="str">
        <f t="shared" si="39"/>
        <v>2024</v>
      </c>
    </row>
    <row r="398" spans="1:28" x14ac:dyDescent="0.25">
      <c r="A398" s="30">
        <v>45418</v>
      </c>
      <c r="B398" s="26" t="s">
        <v>1024</v>
      </c>
      <c r="C398" s="26" t="s">
        <v>66</v>
      </c>
      <c r="D398" s="26" t="s">
        <v>1025</v>
      </c>
      <c r="E398" s="26" t="s">
        <v>142</v>
      </c>
      <c r="F398" s="28">
        <v>673829592</v>
      </c>
      <c r="G398" s="26" t="s">
        <v>160</v>
      </c>
      <c r="H398" s="26" t="s">
        <v>325</v>
      </c>
      <c r="I398" s="26" t="s">
        <v>579</v>
      </c>
      <c r="J398" s="30">
        <v>45425</v>
      </c>
      <c r="K398" s="26" t="s">
        <v>546</v>
      </c>
      <c r="L398" s="26" t="s">
        <v>1154</v>
      </c>
      <c r="M398" s="30">
        <v>45425</v>
      </c>
      <c r="N398" s="26" t="s">
        <v>1154</v>
      </c>
      <c r="O398" s="26" t="s">
        <v>582</v>
      </c>
      <c r="P398" s="31">
        <v>30</v>
      </c>
      <c r="Q398" s="31">
        <v>10</v>
      </c>
      <c r="R398" s="26" t="s">
        <v>547</v>
      </c>
      <c r="S398" s="26"/>
      <c r="T398" s="31"/>
      <c r="U398" s="26"/>
      <c r="V398" s="26">
        <f t="shared" si="36"/>
        <v>1</v>
      </c>
      <c r="W398" s="26">
        <f t="shared" si="40"/>
        <v>1</v>
      </c>
      <c r="X398" s="26">
        <f>Data_Base[[#This Row],[B.N Total]]-Data_Base[[#This Row],[Nbre Brachements exécuté]]</f>
        <v>0</v>
      </c>
      <c r="Y398" s="26" t="str">
        <f t="shared" si="37"/>
        <v>lundi</v>
      </c>
      <c r="Z398" s="26" t="str">
        <f t="shared" si="38"/>
        <v>06</v>
      </c>
      <c r="AA398" s="26" t="str">
        <f t="shared" si="41"/>
        <v>05</v>
      </c>
      <c r="AB398" s="26" t="str">
        <f t="shared" si="39"/>
        <v>2024</v>
      </c>
    </row>
    <row r="399" spans="1:28" x14ac:dyDescent="0.25">
      <c r="A399" s="30">
        <v>45418</v>
      </c>
      <c r="B399" s="26" t="s">
        <v>1026</v>
      </c>
      <c r="C399" s="26" t="s">
        <v>66</v>
      </c>
      <c r="D399" s="26" t="s">
        <v>1027</v>
      </c>
      <c r="E399" s="26"/>
      <c r="G399" s="26"/>
      <c r="H399" s="26"/>
      <c r="I399" s="26"/>
      <c r="J399" s="30"/>
      <c r="K399" s="26"/>
      <c r="M399" s="30">
        <v>45425</v>
      </c>
      <c r="N399" s="26" t="s">
        <v>1155</v>
      </c>
      <c r="O399" s="26"/>
      <c r="P399" s="31"/>
      <c r="Q399" s="31"/>
      <c r="R399" s="26"/>
      <c r="S399" s="26"/>
      <c r="T399" s="31"/>
      <c r="U399" s="26"/>
      <c r="V399" s="26">
        <f t="shared" si="36"/>
        <v>1</v>
      </c>
      <c r="W399" s="26">
        <f t="shared" si="40"/>
        <v>1</v>
      </c>
      <c r="X399" s="26">
        <f>Data_Base[[#This Row],[B.N Total]]-Data_Base[[#This Row],[Nbre Brachements exécuté]]</f>
        <v>0</v>
      </c>
      <c r="Y399" s="26" t="str">
        <f t="shared" si="37"/>
        <v>lundi</v>
      </c>
      <c r="Z399" s="26" t="str">
        <f t="shared" si="38"/>
        <v>06</v>
      </c>
      <c r="AA399" s="26" t="str">
        <f t="shared" si="41"/>
        <v>05</v>
      </c>
      <c r="AB399" s="26" t="str">
        <f t="shared" si="39"/>
        <v>2024</v>
      </c>
    </row>
    <row r="400" spans="1:28" x14ac:dyDescent="0.25">
      <c r="A400" s="30">
        <v>45418</v>
      </c>
      <c r="B400" s="26" t="s">
        <v>1028</v>
      </c>
      <c r="C400" s="26" t="s">
        <v>66</v>
      </c>
      <c r="D400" s="26" t="s">
        <v>1029</v>
      </c>
      <c r="E400" s="26"/>
      <c r="G400" s="26"/>
      <c r="H400" s="26"/>
      <c r="I400" s="26"/>
      <c r="J400" s="30"/>
      <c r="K400" s="26"/>
      <c r="M400" s="30"/>
      <c r="O400" s="26"/>
      <c r="P400" s="31"/>
      <c r="Q400" s="31"/>
      <c r="R400" s="26"/>
      <c r="S400" s="26"/>
      <c r="T400" s="31"/>
      <c r="U400" s="26"/>
      <c r="V400" s="26">
        <f t="shared" si="36"/>
        <v>1</v>
      </c>
      <c r="W400" s="26">
        <f t="shared" si="40"/>
        <v>0</v>
      </c>
      <c r="X400" s="26">
        <f>Data_Base[[#This Row],[B.N Total]]-Data_Base[[#This Row],[Nbre Brachements exécuté]]</f>
        <v>1</v>
      </c>
      <c r="Y400" s="26" t="str">
        <f t="shared" si="37"/>
        <v>lundi</v>
      </c>
      <c r="Z400" s="26" t="str">
        <f t="shared" si="38"/>
        <v>06</v>
      </c>
      <c r="AA400" s="26" t="str">
        <f t="shared" si="41"/>
        <v>05</v>
      </c>
      <c r="AB400" s="26" t="str">
        <f t="shared" si="39"/>
        <v>2024</v>
      </c>
    </row>
    <row r="401" spans="1:28" x14ac:dyDescent="0.25">
      <c r="A401" s="30">
        <v>45418</v>
      </c>
      <c r="B401" s="26" t="s">
        <v>1013</v>
      </c>
      <c r="C401" s="26" t="s">
        <v>66</v>
      </c>
      <c r="D401" s="26" t="s">
        <v>1030</v>
      </c>
      <c r="E401" s="26" t="s">
        <v>142</v>
      </c>
      <c r="F401" s="28">
        <v>655817378</v>
      </c>
      <c r="G401" s="26" t="s">
        <v>160</v>
      </c>
      <c r="H401" s="26" t="s">
        <v>325</v>
      </c>
      <c r="I401" s="26" t="s">
        <v>579</v>
      </c>
      <c r="J401" s="30">
        <v>45419</v>
      </c>
      <c r="K401" s="26" t="s">
        <v>546</v>
      </c>
      <c r="L401" s="26" t="s">
        <v>1018</v>
      </c>
      <c r="M401" s="30">
        <v>45419</v>
      </c>
      <c r="N401" s="26" t="s">
        <v>1018</v>
      </c>
      <c r="O401" s="26" t="s">
        <v>582</v>
      </c>
      <c r="P401" s="31">
        <v>30</v>
      </c>
      <c r="Q401" s="31">
        <v>10</v>
      </c>
      <c r="R401" s="26" t="s">
        <v>547</v>
      </c>
      <c r="S401" s="26"/>
      <c r="T401" s="31"/>
      <c r="U401" s="26"/>
      <c r="V401" s="26">
        <f t="shared" si="36"/>
        <v>1</v>
      </c>
      <c r="W401" s="26">
        <f t="shared" si="40"/>
        <v>1</v>
      </c>
      <c r="X401" s="26">
        <f>Data_Base[[#This Row],[B.N Total]]-Data_Base[[#This Row],[Nbre Brachements exécuté]]</f>
        <v>0</v>
      </c>
      <c r="Y401" s="26" t="str">
        <f t="shared" si="37"/>
        <v>lundi</v>
      </c>
      <c r="Z401" s="26" t="str">
        <f t="shared" si="38"/>
        <v>06</v>
      </c>
      <c r="AA401" s="26" t="str">
        <f t="shared" si="41"/>
        <v>05</v>
      </c>
      <c r="AB401" s="26" t="str">
        <f t="shared" si="39"/>
        <v>2024</v>
      </c>
    </row>
    <row r="402" spans="1:28" x14ac:dyDescent="0.25">
      <c r="A402" s="30">
        <v>45418</v>
      </c>
      <c r="B402" s="26" t="s">
        <v>1013</v>
      </c>
      <c r="C402" s="26" t="s">
        <v>66</v>
      </c>
      <c r="D402" s="26" t="s">
        <v>1031</v>
      </c>
      <c r="E402" s="26" t="s">
        <v>142</v>
      </c>
      <c r="F402" s="28">
        <v>655817378</v>
      </c>
      <c r="G402" s="26" t="s">
        <v>160</v>
      </c>
      <c r="H402" s="26" t="s">
        <v>325</v>
      </c>
      <c r="I402" s="26" t="s">
        <v>579</v>
      </c>
      <c r="J402" s="30">
        <v>45419</v>
      </c>
      <c r="K402" s="26" t="s">
        <v>546</v>
      </c>
      <c r="L402" s="26" t="s">
        <v>1021</v>
      </c>
      <c r="M402" s="30">
        <v>45419</v>
      </c>
      <c r="N402" s="26" t="s">
        <v>1021</v>
      </c>
      <c r="O402" s="26" t="s">
        <v>582</v>
      </c>
      <c r="P402" s="31">
        <v>30</v>
      </c>
      <c r="Q402" s="31">
        <v>10</v>
      </c>
      <c r="R402" s="26" t="s">
        <v>547</v>
      </c>
      <c r="S402" s="26"/>
      <c r="T402" s="31"/>
      <c r="U402" s="26"/>
      <c r="V402" s="26">
        <f t="shared" si="36"/>
        <v>1</v>
      </c>
      <c r="W402" s="26">
        <f t="shared" si="40"/>
        <v>1</v>
      </c>
      <c r="X402" s="26">
        <f>Data_Base[[#This Row],[B.N Total]]-Data_Base[[#This Row],[Nbre Brachements exécuté]]</f>
        <v>0</v>
      </c>
      <c r="Y402" s="26" t="str">
        <f t="shared" si="37"/>
        <v>lundi</v>
      </c>
      <c r="Z402" s="26" t="str">
        <f t="shared" si="38"/>
        <v>06</v>
      </c>
      <c r="AA402" s="26" t="str">
        <f t="shared" si="41"/>
        <v>05</v>
      </c>
      <c r="AB402" s="26" t="str">
        <f t="shared" si="39"/>
        <v>2024</v>
      </c>
    </row>
    <row r="403" spans="1:28" x14ac:dyDescent="0.25">
      <c r="A403" s="30">
        <v>45418</v>
      </c>
      <c r="B403" s="26" t="s">
        <v>1024</v>
      </c>
      <c r="C403" s="26" t="s">
        <v>66</v>
      </c>
      <c r="D403" s="26" t="s">
        <v>1032</v>
      </c>
      <c r="E403" s="26" t="s">
        <v>142</v>
      </c>
      <c r="F403" s="28">
        <v>673829592</v>
      </c>
      <c r="G403" s="26" t="s">
        <v>160</v>
      </c>
      <c r="H403" s="26" t="s">
        <v>325</v>
      </c>
      <c r="I403" s="26" t="s">
        <v>579</v>
      </c>
      <c r="J403" s="30">
        <v>45425</v>
      </c>
      <c r="K403" s="26" t="s">
        <v>546</v>
      </c>
      <c r="L403" s="26" t="s">
        <v>1155</v>
      </c>
      <c r="M403" s="30">
        <v>45425</v>
      </c>
      <c r="N403" s="26" t="s">
        <v>1155</v>
      </c>
      <c r="O403" s="26" t="s">
        <v>582</v>
      </c>
      <c r="P403" s="31">
        <v>30</v>
      </c>
      <c r="Q403" s="31">
        <v>10</v>
      </c>
      <c r="R403" s="26" t="s">
        <v>547</v>
      </c>
      <c r="S403" s="26"/>
      <c r="T403" s="31"/>
      <c r="U403" s="26"/>
      <c r="V403" s="26">
        <f t="shared" si="36"/>
        <v>1</v>
      </c>
      <c r="W403" s="26">
        <f t="shared" si="40"/>
        <v>1</v>
      </c>
      <c r="X403" s="26">
        <f>Data_Base[[#This Row],[B.N Total]]-Data_Base[[#This Row],[Nbre Brachements exécuté]]</f>
        <v>0</v>
      </c>
      <c r="Y403" s="26" t="str">
        <f t="shared" si="37"/>
        <v>lundi</v>
      </c>
      <c r="Z403" s="26" t="str">
        <f t="shared" si="38"/>
        <v>06</v>
      </c>
      <c r="AA403" s="26" t="str">
        <f t="shared" si="41"/>
        <v>05</v>
      </c>
      <c r="AB403" s="26" t="str">
        <f t="shared" si="39"/>
        <v>2024</v>
      </c>
    </row>
    <row r="404" spans="1:28" x14ac:dyDescent="0.25">
      <c r="A404" s="30">
        <v>45418</v>
      </c>
      <c r="B404" s="26" t="s">
        <v>735</v>
      </c>
      <c r="C404" s="26" t="s">
        <v>66</v>
      </c>
      <c r="D404" s="26" t="s">
        <v>1033</v>
      </c>
      <c r="E404" s="26"/>
      <c r="G404" s="26"/>
      <c r="H404" s="26"/>
      <c r="I404" s="26"/>
      <c r="J404" s="30"/>
      <c r="K404" s="26"/>
      <c r="M404" s="30"/>
      <c r="O404" s="26"/>
      <c r="P404" s="31"/>
      <c r="Q404" s="31"/>
      <c r="R404" s="26"/>
      <c r="S404" s="26"/>
      <c r="T404" s="31"/>
      <c r="U404" s="26"/>
      <c r="V404" s="26">
        <f t="shared" si="36"/>
        <v>1</v>
      </c>
      <c r="W404" s="26">
        <f t="shared" si="40"/>
        <v>0</v>
      </c>
      <c r="X404" s="26">
        <f>Data_Base[[#This Row],[B.N Total]]-Data_Base[[#This Row],[Nbre Brachements exécuté]]</f>
        <v>1</v>
      </c>
      <c r="Y404" s="26" t="str">
        <f t="shared" si="37"/>
        <v>lundi</v>
      </c>
      <c r="Z404" s="26" t="str">
        <f t="shared" si="38"/>
        <v>06</v>
      </c>
      <c r="AA404" s="26" t="str">
        <f t="shared" si="41"/>
        <v>05</v>
      </c>
      <c r="AB404" s="26" t="str">
        <f t="shared" si="39"/>
        <v>2024</v>
      </c>
    </row>
    <row r="405" spans="1:28" x14ac:dyDescent="0.25">
      <c r="A405" s="30">
        <v>45418</v>
      </c>
      <c r="B405" s="26" t="s">
        <v>1034</v>
      </c>
      <c r="C405" s="26" t="s">
        <v>3</v>
      </c>
      <c r="D405" s="26" t="s">
        <v>1035</v>
      </c>
      <c r="E405" s="26"/>
      <c r="G405" s="26"/>
      <c r="H405" s="26"/>
      <c r="I405" s="26"/>
      <c r="J405" s="30"/>
      <c r="K405" s="26"/>
      <c r="M405" s="30"/>
      <c r="O405" s="26"/>
      <c r="P405" s="31"/>
      <c r="Q405" s="31"/>
      <c r="R405" s="26"/>
      <c r="S405" s="26"/>
      <c r="T405" s="31"/>
      <c r="U405" s="26"/>
      <c r="V405" s="26">
        <f t="shared" si="36"/>
        <v>1</v>
      </c>
      <c r="W405" s="26">
        <f t="shared" si="40"/>
        <v>0</v>
      </c>
      <c r="X405" s="26">
        <f>Data_Base[[#This Row],[B.N Total]]-Data_Base[[#This Row],[Nbre Brachements exécuté]]</f>
        <v>1</v>
      </c>
      <c r="Y405" s="26" t="str">
        <f t="shared" si="37"/>
        <v>lundi</v>
      </c>
      <c r="Z405" s="26" t="str">
        <f t="shared" si="38"/>
        <v>06</v>
      </c>
      <c r="AA405" s="26" t="str">
        <f t="shared" si="41"/>
        <v>05</v>
      </c>
      <c r="AB405" s="26" t="str">
        <f t="shared" si="39"/>
        <v>2024</v>
      </c>
    </row>
    <row r="406" spans="1:28" x14ac:dyDescent="0.25">
      <c r="A406" s="30">
        <v>45418</v>
      </c>
      <c r="B406" s="26" t="s">
        <v>1036</v>
      </c>
      <c r="C406" s="26" t="s">
        <v>3</v>
      </c>
      <c r="D406" s="26" t="s">
        <v>1037</v>
      </c>
      <c r="E406" s="26"/>
      <c r="G406" s="26"/>
      <c r="H406" s="26"/>
      <c r="I406" s="26"/>
      <c r="J406" s="30"/>
      <c r="K406" s="26"/>
      <c r="M406" s="30"/>
      <c r="O406" s="26"/>
      <c r="P406" s="31"/>
      <c r="Q406" s="31"/>
      <c r="R406" s="26"/>
      <c r="S406" s="26"/>
      <c r="T406" s="31"/>
      <c r="U406" s="26"/>
      <c r="V406" s="26">
        <f t="shared" si="36"/>
        <v>1</v>
      </c>
      <c r="W406" s="26">
        <f t="shared" si="40"/>
        <v>0</v>
      </c>
      <c r="X406" s="26">
        <f>Data_Base[[#This Row],[B.N Total]]-Data_Base[[#This Row],[Nbre Brachements exécuté]]</f>
        <v>1</v>
      </c>
      <c r="Y406" s="26" t="str">
        <f t="shared" si="37"/>
        <v>lundi</v>
      </c>
      <c r="Z406" s="26" t="str">
        <f t="shared" si="38"/>
        <v>06</v>
      </c>
      <c r="AA406" s="26" t="str">
        <f t="shared" si="41"/>
        <v>05</v>
      </c>
      <c r="AB406" s="26" t="str">
        <f t="shared" si="39"/>
        <v>2024</v>
      </c>
    </row>
    <row r="407" spans="1:28" x14ac:dyDescent="0.25">
      <c r="A407" s="30">
        <v>45418</v>
      </c>
      <c r="B407" s="26" t="s">
        <v>1038</v>
      </c>
      <c r="C407" s="26" t="s">
        <v>3</v>
      </c>
      <c r="D407" s="26" t="s">
        <v>1039</v>
      </c>
      <c r="E407" s="26"/>
      <c r="G407" s="26"/>
      <c r="H407" s="26"/>
      <c r="I407" s="26"/>
      <c r="J407" s="30"/>
      <c r="K407" s="26"/>
      <c r="M407" s="30"/>
      <c r="O407" s="26"/>
      <c r="P407" s="31"/>
      <c r="Q407" s="31"/>
      <c r="R407" s="26"/>
      <c r="S407" s="26"/>
      <c r="T407" s="31"/>
      <c r="U407" s="26"/>
      <c r="V407" s="26">
        <f t="shared" si="36"/>
        <v>1</v>
      </c>
      <c r="W407" s="26">
        <f t="shared" si="40"/>
        <v>0</v>
      </c>
      <c r="X407" s="26">
        <f>Data_Base[[#This Row],[B.N Total]]-Data_Base[[#This Row],[Nbre Brachements exécuté]]</f>
        <v>1</v>
      </c>
      <c r="Y407" s="26" t="str">
        <f t="shared" si="37"/>
        <v>lundi</v>
      </c>
      <c r="Z407" s="26" t="str">
        <f t="shared" si="38"/>
        <v>06</v>
      </c>
      <c r="AA407" s="26" t="str">
        <f t="shared" si="41"/>
        <v>05</v>
      </c>
      <c r="AB407" s="26" t="str">
        <f t="shared" si="39"/>
        <v>2024</v>
      </c>
    </row>
    <row r="408" spans="1:28" x14ac:dyDescent="0.25">
      <c r="A408" s="30">
        <v>45418</v>
      </c>
      <c r="B408" s="26" t="s">
        <v>1040</v>
      </c>
      <c r="C408" s="26" t="s">
        <v>2</v>
      </c>
      <c r="D408" s="26" t="s">
        <v>1041</v>
      </c>
      <c r="E408" s="26"/>
      <c r="F408" s="28">
        <v>670813818</v>
      </c>
      <c r="G408" s="26" t="s">
        <v>160</v>
      </c>
      <c r="H408" s="26" t="s">
        <v>567</v>
      </c>
      <c r="I408" s="26" t="s">
        <v>573</v>
      </c>
      <c r="J408" s="30">
        <v>45419</v>
      </c>
      <c r="K408" s="26" t="s">
        <v>546</v>
      </c>
      <c r="M408" s="30"/>
      <c r="O408" s="26"/>
      <c r="P408" s="31"/>
      <c r="Q408" s="31"/>
      <c r="R408" s="26"/>
      <c r="S408" s="26"/>
      <c r="T408" s="31"/>
      <c r="U408" s="26"/>
      <c r="V408" s="26">
        <f t="shared" si="36"/>
        <v>1</v>
      </c>
      <c r="W408" s="26">
        <f t="shared" si="40"/>
        <v>0</v>
      </c>
      <c r="X408" s="26">
        <f>Data_Base[[#This Row],[B.N Total]]-Data_Base[[#This Row],[Nbre Brachements exécuté]]</f>
        <v>1</v>
      </c>
      <c r="Y408" s="26" t="str">
        <f t="shared" si="37"/>
        <v>lundi</v>
      </c>
      <c r="Z408" s="26" t="str">
        <f t="shared" si="38"/>
        <v>06</v>
      </c>
      <c r="AA408" s="26" t="str">
        <f t="shared" si="41"/>
        <v>05</v>
      </c>
      <c r="AB408" s="26" t="str">
        <f t="shared" si="39"/>
        <v>2024</v>
      </c>
    </row>
    <row r="409" spans="1:28" x14ac:dyDescent="0.25">
      <c r="A409" s="30">
        <v>45418</v>
      </c>
      <c r="B409" s="26" t="s">
        <v>1042</v>
      </c>
      <c r="C409" s="26" t="s">
        <v>3</v>
      </c>
      <c r="D409" s="26" t="s">
        <v>1043</v>
      </c>
      <c r="E409" s="26" t="s">
        <v>142</v>
      </c>
      <c r="F409" s="28">
        <v>696613380</v>
      </c>
      <c r="G409" s="26" t="s">
        <v>160</v>
      </c>
      <c r="H409" s="26" t="s">
        <v>325</v>
      </c>
      <c r="I409" s="26" t="s">
        <v>579</v>
      </c>
      <c r="J409" s="30">
        <v>45420</v>
      </c>
      <c r="K409" s="26" t="s">
        <v>546</v>
      </c>
      <c r="L409" s="26" t="s">
        <v>1044</v>
      </c>
      <c r="M409" s="30">
        <v>45420</v>
      </c>
      <c r="N409" s="26" t="s">
        <v>1044</v>
      </c>
      <c r="O409" s="26" t="s">
        <v>582</v>
      </c>
      <c r="P409" s="31">
        <v>30</v>
      </c>
      <c r="Q409" s="31">
        <v>10</v>
      </c>
      <c r="R409" s="26" t="s">
        <v>547</v>
      </c>
      <c r="S409" s="26"/>
      <c r="T409" s="31"/>
      <c r="U409" s="26"/>
      <c r="V409" s="26">
        <f t="shared" si="36"/>
        <v>1</v>
      </c>
      <c r="W409" s="26">
        <f t="shared" si="40"/>
        <v>1</v>
      </c>
      <c r="X409" s="26">
        <f>Data_Base[[#This Row],[B.N Total]]-Data_Base[[#This Row],[Nbre Brachements exécuté]]</f>
        <v>0</v>
      </c>
      <c r="Y409" s="26" t="str">
        <f t="shared" si="37"/>
        <v>lundi</v>
      </c>
      <c r="Z409" s="26" t="str">
        <f t="shared" si="38"/>
        <v>06</v>
      </c>
      <c r="AA409" s="26" t="str">
        <f t="shared" si="41"/>
        <v>05</v>
      </c>
      <c r="AB409" s="26" t="str">
        <f t="shared" si="39"/>
        <v>2024</v>
      </c>
    </row>
    <row r="410" spans="1:28" x14ac:dyDescent="0.25">
      <c r="A410" s="30">
        <v>45418</v>
      </c>
      <c r="B410" s="26" t="s">
        <v>1045</v>
      </c>
      <c r="C410" s="26" t="s">
        <v>3</v>
      </c>
      <c r="D410" s="26" t="s">
        <v>1046</v>
      </c>
      <c r="E410" s="26"/>
      <c r="G410" s="26" t="s">
        <v>160</v>
      </c>
      <c r="H410" s="26" t="s">
        <v>161</v>
      </c>
      <c r="I410" s="26" t="s">
        <v>586</v>
      </c>
      <c r="J410" s="30">
        <v>45420</v>
      </c>
      <c r="K410" s="26"/>
      <c r="M410" s="30"/>
      <c r="O410" s="26"/>
      <c r="P410" s="31"/>
      <c r="Q410" s="31"/>
      <c r="R410" s="26"/>
      <c r="S410" s="26"/>
      <c r="T410" s="31"/>
      <c r="U410" s="26"/>
      <c r="V410" s="26">
        <f t="shared" si="36"/>
        <v>1</v>
      </c>
      <c r="W410" s="26">
        <f t="shared" si="40"/>
        <v>0</v>
      </c>
      <c r="X410" s="26">
        <f>Data_Base[[#This Row],[B.N Total]]-Data_Base[[#This Row],[Nbre Brachements exécuté]]</f>
        <v>1</v>
      </c>
      <c r="Y410" s="26" t="str">
        <f t="shared" si="37"/>
        <v>lundi</v>
      </c>
      <c r="Z410" s="26" t="str">
        <f t="shared" si="38"/>
        <v>06</v>
      </c>
      <c r="AA410" s="26" t="str">
        <f t="shared" si="41"/>
        <v>05</v>
      </c>
      <c r="AB410" s="26" t="str">
        <f t="shared" si="39"/>
        <v>2024</v>
      </c>
    </row>
    <row r="411" spans="1:28" x14ac:dyDescent="0.25">
      <c r="A411" s="30">
        <v>45418</v>
      </c>
      <c r="B411" s="26" t="s">
        <v>1047</v>
      </c>
      <c r="C411" s="26" t="s">
        <v>3</v>
      </c>
      <c r="D411" s="26" t="s">
        <v>1048</v>
      </c>
      <c r="E411" s="26"/>
      <c r="F411" s="28">
        <v>659248374</v>
      </c>
      <c r="G411" s="26" t="s">
        <v>160</v>
      </c>
      <c r="H411" s="26" t="s">
        <v>161</v>
      </c>
      <c r="I411" s="26" t="s">
        <v>586</v>
      </c>
      <c r="J411" s="30">
        <v>45425</v>
      </c>
      <c r="K411" s="26"/>
      <c r="M411" s="30"/>
      <c r="O411" s="26"/>
      <c r="P411" s="31"/>
      <c r="Q411" s="31"/>
      <c r="R411" s="26"/>
      <c r="S411" s="26"/>
      <c r="T411" s="31"/>
      <c r="U411" s="26"/>
      <c r="V411" s="26">
        <f t="shared" si="36"/>
        <v>1</v>
      </c>
      <c r="W411" s="26">
        <f t="shared" si="40"/>
        <v>0</v>
      </c>
      <c r="X411" s="26">
        <f>Data_Base[[#This Row],[B.N Total]]-Data_Base[[#This Row],[Nbre Brachements exécuté]]</f>
        <v>1</v>
      </c>
      <c r="Y411" s="26" t="str">
        <f t="shared" si="37"/>
        <v>lundi</v>
      </c>
      <c r="Z411" s="26" t="str">
        <f t="shared" si="38"/>
        <v>06</v>
      </c>
      <c r="AA411" s="26" t="str">
        <f t="shared" si="41"/>
        <v>05</v>
      </c>
      <c r="AB411" s="26" t="str">
        <f t="shared" si="39"/>
        <v>2024</v>
      </c>
    </row>
    <row r="412" spans="1:28" x14ac:dyDescent="0.25">
      <c r="A412" s="30">
        <v>45418</v>
      </c>
      <c r="B412" s="26" t="s">
        <v>1049</v>
      </c>
      <c r="C412" s="26" t="s">
        <v>3</v>
      </c>
      <c r="D412" s="26" t="s">
        <v>1050</v>
      </c>
      <c r="E412" s="26"/>
      <c r="F412" s="28">
        <v>697757214</v>
      </c>
      <c r="G412" s="26" t="s">
        <v>160</v>
      </c>
      <c r="H412" s="26" t="s">
        <v>325</v>
      </c>
      <c r="I412" s="26" t="s">
        <v>579</v>
      </c>
      <c r="J412" s="30">
        <v>45420</v>
      </c>
      <c r="K412" s="26" t="s">
        <v>546</v>
      </c>
      <c r="L412" s="26" t="s">
        <v>1051</v>
      </c>
      <c r="M412" s="30">
        <v>45420</v>
      </c>
      <c r="N412" s="26" t="s">
        <v>1051</v>
      </c>
      <c r="O412" s="26" t="s">
        <v>389</v>
      </c>
      <c r="P412" s="31">
        <v>60</v>
      </c>
      <c r="Q412" s="31">
        <v>0</v>
      </c>
      <c r="R412" s="26" t="s">
        <v>547</v>
      </c>
      <c r="S412" s="26"/>
      <c r="T412" s="31"/>
      <c r="U412" s="26"/>
      <c r="V412" s="26">
        <f t="shared" si="36"/>
        <v>1</v>
      </c>
      <c r="W412" s="26">
        <f t="shared" si="40"/>
        <v>1</v>
      </c>
      <c r="X412" s="26">
        <f>Data_Base[[#This Row],[B.N Total]]-Data_Base[[#This Row],[Nbre Brachements exécuté]]</f>
        <v>0</v>
      </c>
      <c r="Y412" s="26" t="str">
        <f t="shared" si="37"/>
        <v>lundi</v>
      </c>
      <c r="Z412" s="26" t="str">
        <f t="shared" si="38"/>
        <v>06</v>
      </c>
      <c r="AA412" s="26" t="str">
        <f t="shared" si="41"/>
        <v>05</v>
      </c>
      <c r="AB412" s="26" t="str">
        <f t="shared" si="39"/>
        <v>2024</v>
      </c>
    </row>
    <row r="413" spans="1:28" x14ac:dyDescent="0.25">
      <c r="A413" s="30">
        <v>45418</v>
      </c>
      <c r="B413" s="26" t="s">
        <v>1052</v>
      </c>
      <c r="C413" s="26" t="s">
        <v>2</v>
      </c>
      <c r="D413" s="26" t="s">
        <v>1053</v>
      </c>
      <c r="E413" s="26"/>
      <c r="G413" s="26"/>
      <c r="H413" s="26"/>
      <c r="I413" s="26"/>
      <c r="J413" s="30"/>
      <c r="K413" s="26"/>
      <c r="M413" s="30"/>
      <c r="O413" s="26"/>
      <c r="P413" s="31"/>
      <c r="Q413" s="31"/>
      <c r="R413" s="26"/>
      <c r="S413" s="26"/>
      <c r="T413" s="31"/>
      <c r="U413" s="26"/>
      <c r="V413" s="26">
        <f t="shared" si="36"/>
        <v>1</v>
      </c>
      <c r="W413" s="26">
        <f t="shared" si="40"/>
        <v>0</v>
      </c>
      <c r="X413" s="26">
        <f>Data_Base[[#This Row],[B.N Total]]-Data_Base[[#This Row],[Nbre Brachements exécuté]]</f>
        <v>1</v>
      </c>
      <c r="Y413" s="26" t="str">
        <f t="shared" si="37"/>
        <v>lundi</v>
      </c>
      <c r="Z413" s="26" t="str">
        <f t="shared" si="38"/>
        <v>06</v>
      </c>
      <c r="AA413" s="26" t="str">
        <f t="shared" si="41"/>
        <v>05</v>
      </c>
      <c r="AB413" s="26" t="str">
        <f t="shared" si="39"/>
        <v>2024</v>
      </c>
    </row>
    <row r="414" spans="1:28" x14ac:dyDescent="0.25">
      <c r="A414" s="30">
        <v>45418</v>
      </c>
      <c r="B414" s="26" t="s">
        <v>1054</v>
      </c>
      <c r="C414" s="26" t="s">
        <v>2</v>
      </c>
      <c r="D414" s="26" t="s">
        <v>1055</v>
      </c>
      <c r="E414" s="26"/>
      <c r="G414" s="26"/>
      <c r="H414" s="26"/>
      <c r="I414" s="26"/>
      <c r="J414" s="30"/>
      <c r="K414" s="26"/>
      <c r="M414" s="30"/>
      <c r="O414" s="26"/>
      <c r="P414" s="31"/>
      <c r="Q414" s="31"/>
      <c r="R414" s="26"/>
      <c r="S414" s="26"/>
      <c r="T414" s="31"/>
      <c r="U414" s="26"/>
      <c r="V414" s="26">
        <f t="shared" si="36"/>
        <v>1</v>
      </c>
      <c r="W414" s="26">
        <f t="shared" si="40"/>
        <v>0</v>
      </c>
      <c r="X414" s="26">
        <f>Data_Base[[#This Row],[B.N Total]]-Data_Base[[#This Row],[Nbre Brachements exécuté]]</f>
        <v>1</v>
      </c>
      <c r="Y414" s="26" t="str">
        <f t="shared" si="37"/>
        <v>lundi</v>
      </c>
      <c r="Z414" s="26" t="str">
        <f t="shared" si="38"/>
        <v>06</v>
      </c>
      <c r="AA414" s="26" t="str">
        <f t="shared" si="41"/>
        <v>05</v>
      </c>
      <c r="AB414" s="26" t="str">
        <f t="shared" si="39"/>
        <v>2024</v>
      </c>
    </row>
    <row r="415" spans="1:28" x14ac:dyDescent="0.25">
      <c r="A415" s="30">
        <v>45418</v>
      </c>
      <c r="B415" s="26" t="s">
        <v>1056</v>
      </c>
      <c r="C415" s="26" t="s">
        <v>2</v>
      </c>
      <c r="D415" s="26" t="s">
        <v>1057</v>
      </c>
      <c r="E415" s="26"/>
      <c r="G415" s="26"/>
      <c r="H415" s="26"/>
      <c r="I415" s="26"/>
      <c r="J415" s="30"/>
      <c r="K415" s="26"/>
      <c r="M415" s="30"/>
      <c r="O415" s="26"/>
      <c r="P415" s="31"/>
      <c r="Q415" s="31"/>
      <c r="R415" s="26"/>
      <c r="S415" s="26"/>
      <c r="T415" s="31"/>
      <c r="U415" s="26"/>
      <c r="V415" s="26">
        <f t="shared" si="36"/>
        <v>1</v>
      </c>
      <c r="W415" s="26">
        <f t="shared" si="40"/>
        <v>0</v>
      </c>
      <c r="X415" s="26">
        <f>Data_Base[[#This Row],[B.N Total]]-Data_Base[[#This Row],[Nbre Brachements exécuté]]</f>
        <v>1</v>
      </c>
      <c r="Y415" s="26" t="str">
        <f t="shared" si="37"/>
        <v>lundi</v>
      </c>
      <c r="Z415" s="26" t="str">
        <f t="shared" si="38"/>
        <v>06</v>
      </c>
      <c r="AA415" s="26" t="str">
        <f t="shared" si="41"/>
        <v>05</v>
      </c>
      <c r="AB415" s="26" t="str">
        <f t="shared" si="39"/>
        <v>2024</v>
      </c>
    </row>
    <row r="416" spans="1:28" x14ac:dyDescent="0.25">
      <c r="A416" s="30">
        <v>45418</v>
      </c>
      <c r="B416" s="26" t="s">
        <v>1058</v>
      </c>
      <c r="C416" s="26" t="s">
        <v>2</v>
      </c>
      <c r="D416" s="26" t="s">
        <v>1059</v>
      </c>
      <c r="E416" s="26"/>
      <c r="G416" s="26"/>
      <c r="H416" s="26"/>
      <c r="I416" s="26"/>
      <c r="J416" s="30"/>
      <c r="K416" s="26"/>
      <c r="M416" s="30"/>
      <c r="O416" s="26"/>
      <c r="P416" s="31"/>
      <c r="Q416" s="31"/>
      <c r="R416" s="26"/>
      <c r="S416" s="26"/>
      <c r="T416" s="31"/>
      <c r="U416" s="26"/>
      <c r="V416" s="26">
        <f t="shared" si="36"/>
        <v>1</v>
      </c>
      <c r="W416" s="26">
        <f t="shared" si="40"/>
        <v>0</v>
      </c>
      <c r="X416" s="26">
        <f>Data_Base[[#This Row],[B.N Total]]-Data_Base[[#This Row],[Nbre Brachements exécuté]]</f>
        <v>1</v>
      </c>
      <c r="Y416" s="26" t="str">
        <f t="shared" si="37"/>
        <v>lundi</v>
      </c>
      <c r="Z416" s="26" t="str">
        <f t="shared" si="38"/>
        <v>06</v>
      </c>
      <c r="AA416" s="26" t="str">
        <f t="shared" si="41"/>
        <v>05</v>
      </c>
      <c r="AB416" s="26" t="str">
        <f t="shared" si="39"/>
        <v>2024</v>
      </c>
    </row>
    <row r="417" spans="1:28" x14ac:dyDescent="0.25">
      <c r="A417" s="30">
        <v>45418</v>
      </c>
      <c r="B417" s="26" t="s">
        <v>1060</v>
      </c>
      <c r="C417" s="26" t="s">
        <v>2</v>
      </c>
      <c r="D417" s="26" t="s">
        <v>1061</v>
      </c>
      <c r="E417" s="26"/>
      <c r="G417" s="26"/>
      <c r="H417" s="26"/>
      <c r="I417" s="26"/>
      <c r="J417" s="30"/>
      <c r="K417" s="26"/>
      <c r="M417" s="30"/>
      <c r="O417" s="26"/>
      <c r="P417" s="31"/>
      <c r="Q417" s="31"/>
      <c r="R417" s="26"/>
      <c r="S417" s="26"/>
      <c r="T417" s="31"/>
      <c r="U417" s="26"/>
      <c r="V417" s="26">
        <f t="shared" si="36"/>
        <v>1</v>
      </c>
      <c r="W417" s="26">
        <f t="shared" si="40"/>
        <v>0</v>
      </c>
      <c r="X417" s="26">
        <f>Data_Base[[#This Row],[B.N Total]]-Data_Base[[#This Row],[Nbre Brachements exécuté]]</f>
        <v>1</v>
      </c>
      <c r="Y417" s="26" t="str">
        <f t="shared" si="37"/>
        <v>lundi</v>
      </c>
      <c r="Z417" s="26" t="str">
        <f t="shared" si="38"/>
        <v>06</v>
      </c>
      <c r="AA417" s="26" t="str">
        <f t="shared" si="41"/>
        <v>05</v>
      </c>
      <c r="AB417" s="26" t="str">
        <f t="shared" si="39"/>
        <v>2024</v>
      </c>
    </row>
    <row r="418" spans="1:28" x14ac:dyDescent="0.25">
      <c r="A418" s="30">
        <v>45418</v>
      </c>
      <c r="B418" s="26" t="s">
        <v>1060</v>
      </c>
      <c r="C418" s="26" t="s">
        <v>2</v>
      </c>
      <c r="D418" s="26" t="s">
        <v>1062</v>
      </c>
      <c r="E418" s="26"/>
      <c r="G418" s="26"/>
      <c r="H418" s="26"/>
      <c r="I418" s="26"/>
      <c r="J418" s="30"/>
      <c r="K418" s="26"/>
      <c r="M418" s="30"/>
      <c r="O418" s="26"/>
      <c r="P418" s="31"/>
      <c r="Q418" s="31"/>
      <c r="R418" s="26"/>
      <c r="S418" s="26"/>
      <c r="T418" s="31"/>
      <c r="U418" s="26"/>
      <c r="V418" s="26">
        <f t="shared" si="36"/>
        <v>1</v>
      </c>
      <c r="W418" s="26">
        <f t="shared" si="40"/>
        <v>0</v>
      </c>
      <c r="X418" s="26">
        <f>Data_Base[[#This Row],[B.N Total]]-Data_Base[[#This Row],[Nbre Brachements exécuté]]</f>
        <v>1</v>
      </c>
      <c r="Y418" s="26" t="str">
        <f t="shared" si="37"/>
        <v>lundi</v>
      </c>
      <c r="Z418" s="26" t="str">
        <f t="shared" si="38"/>
        <v>06</v>
      </c>
      <c r="AA418" s="26" t="str">
        <f t="shared" si="41"/>
        <v>05</v>
      </c>
      <c r="AB418" s="26" t="str">
        <f t="shared" si="39"/>
        <v>2024</v>
      </c>
    </row>
    <row r="419" spans="1:28" x14ac:dyDescent="0.25">
      <c r="A419" s="30">
        <v>45418</v>
      </c>
      <c r="B419" s="26" t="s">
        <v>1060</v>
      </c>
      <c r="C419" s="26" t="s">
        <v>2</v>
      </c>
      <c r="D419" s="26" t="s">
        <v>1063</v>
      </c>
      <c r="E419" s="26"/>
      <c r="G419" s="26"/>
      <c r="H419" s="26"/>
      <c r="I419" s="26"/>
      <c r="J419" s="30"/>
      <c r="K419" s="26"/>
      <c r="M419" s="30"/>
      <c r="O419" s="26"/>
      <c r="P419" s="31"/>
      <c r="Q419" s="31"/>
      <c r="R419" s="26"/>
      <c r="S419" s="26"/>
      <c r="T419" s="31"/>
      <c r="U419" s="26"/>
      <c r="V419" s="26">
        <f t="shared" si="36"/>
        <v>1</v>
      </c>
      <c r="W419" s="26">
        <f t="shared" si="40"/>
        <v>0</v>
      </c>
      <c r="X419" s="26">
        <f>Data_Base[[#This Row],[B.N Total]]-Data_Base[[#This Row],[Nbre Brachements exécuté]]</f>
        <v>1</v>
      </c>
      <c r="Y419" s="26" t="str">
        <f t="shared" si="37"/>
        <v>lundi</v>
      </c>
      <c r="Z419" s="26" t="str">
        <f t="shared" si="38"/>
        <v>06</v>
      </c>
      <c r="AA419" s="26" t="str">
        <f t="shared" si="41"/>
        <v>05</v>
      </c>
      <c r="AB419" s="26" t="str">
        <f t="shared" si="39"/>
        <v>2024</v>
      </c>
    </row>
    <row r="420" spans="1:28" x14ac:dyDescent="0.25">
      <c r="A420" s="30">
        <v>45418</v>
      </c>
      <c r="B420" s="26" t="s">
        <v>1064</v>
      </c>
      <c r="C420" s="26" t="s">
        <v>2</v>
      </c>
      <c r="D420" s="26" t="s">
        <v>1065</v>
      </c>
      <c r="E420" s="26" t="s">
        <v>142</v>
      </c>
      <c r="F420" s="28">
        <v>690045470</v>
      </c>
      <c r="G420" s="26" t="s">
        <v>160</v>
      </c>
      <c r="H420" s="26" t="s">
        <v>325</v>
      </c>
      <c r="I420" s="26" t="s">
        <v>579</v>
      </c>
      <c r="J420" s="30">
        <v>45422</v>
      </c>
      <c r="K420" s="26" t="s">
        <v>546</v>
      </c>
      <c r="L420" s="26" t="s">
        <v>1156</v>
      </c>
      <c r="M420" s="30">
        <v>45425</v>
      </c>
      <c r="N420" s="26" t="s">
        <v>1156</v>
      </c>
      <c r="O420" s="26" t="s">
        <v>582</v>
      </c>
      <c r="P420" s="31">
        <v>10</v>
      </c>
      <c r="Q420" s="31">
        <v>10</v>
      </c>
      <c r="R420" s="26" t="s">
        <v>547</v>
      </c>
      <c r="S420" s="26"/>
      <c r="T420" s="31"/>
      <c r="U420" s="26"/>
      <c r="V420" s="26">
        <f t="shared" si="36"/>
        <v>1</v>
      </c>
      <c r="W420" s="26">
        <f t="shared" si="40"/>
        <v>1</v>
      </c>
      <c r="X420" s="26">
        <f>Data_Base[[#This Row],[B.N Total]]-Data_Base[[#This Row],[Nbre Brachements exécuté]]</f>
        <v>0</v>
      </c>
      <c r="Y420" s="26" t="str">
        <f t="shared" si="37"/>
        <v>lundi</v>
      </c>
      <c r="Z420" s="26" t="str">
        <f t="shared" si="38"/>
        <v>06</v>
      </c>
      <c r="AA420" s="26" t="str">
        <f t="shared" si="41"/>
        <v>05</v>
      </c>
      <c r="AB420" s="26" t="str">
        <f t="shared" si="39"/>
        <v>2024</v>
      </c>
    </row>
    <row r="421" spans="1:28" x14ac:dyDescent="0.25">
      <c r="A421" s="30">
        <v>45418</v>
      </c>
      <c r="B421" s="26" t="s">
        <v>1064</v>
      </c>
      <c r="C421" s="26" t="s">
        <v>2</v>
      </c>
      <c r="D421" s="26" t="s">
        <v>1066</v>
      </c>
      <c r="E421" s="26" t="s">
        <v>142</v>
      </c>
      <c r="F421" s="28">
        <v>690045470</v>
      </c>
      <c r="G421" s="26" t="s">
        <v>160</v>
      </c>
      <c r="H421" s="26" t="s">
        <v>325</v>
      </c>
      <c r="I421" s="26" t="s">
        <v>579</v>
      </c>
      <c r="J421" s="30">
        <v>45422</v>
      </c>
      <c r="K421" s="26" t="s">
        <v>546</v>
      </c>
      <c r="L421" s="26" t="s">
        <v>1157</v>
      </c>
      <c r="M421" s="30">
        <v>45425</v>
      </c>
      <c r="N421" s="26" t="s">
        <v>1157</v>
      </c>
      <c r="O421" s="26" t="s">
        <v>582</v>
      </c>
      <c r="P421" s="31">
        <v>10</v>
      </c>
      <c r="Q421" s="31">
        <v>10</v>
      </c>
      <c r="R421" s="26" t="s">
        <v>547</v>
      </c>
      <c r="S421" s="26"/>
      <c r="T421" s="31"/>
      <c r="U421" s="26"/>
      <c r="V421" s="26">
        <f t="shared" si="36"/>
        <v>1</v>
      </c>
      <c r="W421" s="26">
        <f t="shared" si="40"/>
        <v>1</v>
      </c>
      <c r="X421" s="26">
        <f>Data_Base[[#This Row],[B.N Total]]-Data_Base[[#This Row],[Nbre Brachements exécuté]]</f>
        <v>0</v>
      </c>
      <c r="Y421" s="26" t="str">
        <f t="shared" si="37"/>
        <v>lundi</v>
      </c>
      <c r="Z421" s="26" t="str">
        <f t="shared" si="38"/>
        <v>06</v>
      </c>
      <c r="AA421" s="26" t="str">
        <f t="shared" si="41"/>
        <v>05</v>
      </c>
      <c r="AB421" s="26" t="str">
        <f t="shared" si="39"/>
        <v>2024</v>
      </c>
    </row>
    <row r="422" spans="1:28" x14ac:dyDescent="0.25">
      <c r="A422" s="30">
        <v>45418</v>
      </c>
      <c r="B422" s="26" t="s">
        <v>1067</v>
      </c>
      <c r="C422" s="26" t="s">
        <v>2</v>
      </c>
      <c r="D422" s="26" t="s">
        <v>1068</v>
      </c>
      <c r="E422" s="26"/>
      <c r="G422" s="26"/>
      <c r="H422" s="26"/>
      <c r="I422" s="26"/>
      <c r="J422" s="30"/>
      <c r="K422" s="26"/>
      <c r="M422" s="30"/>
      <c r="O422" s="26"/>
      <c r="P422" s="31"/>
      <c r="Q422" s="31"/>
      <c r="R422" s="26"/>
      <c r="S422" s="26"/>
      <c r="T422" s="31"/>
      <c r="U422" s="26"/>
      <c r="V422" s="26">
        <f t="shared" si="36"/>
        <v>1</v>
      </c>
      <c r="W422" s="26">
        <f t="shared" si="40"/>
        <v>0</v>
      </c>
      <c r="X422" s="26">
        <f>Data_Base[[#This Row],[B.N Total]]-Data_Base[[#This Row],[Nbre Brachements exécuté]]</f>
        <v>1</v>
      </c>
      <c r="Y422" s="26" t="str">
        <f t="shared" si="37"/>
        <v>lundi</v>
      </c>
      <c r="Z422" s="26" t="str">
        <f t="shared" si="38"/>
        <v>06</v>
      </c>
      <c r="AA422" s="26" t="str">
        <f t="shared" si="41"/>
        <v>05</v>
      </c>
      <c r="AB422" s="26" t="str">
        <f t="shared" si="39"/>
        <v>2024</v>
      </c>
    </row>
    <row r="423" spans="1:28" x14ac:dyDescent="0.25">
      <c r="A423" s="30">
        <v>45418</v>
      </c>
      <c r="B423" s="26" t="s">
        <v>1069</v>
      </c>
      <c r="C423" s="26" t="s">
        <v>3</v>
      </c>
      <c r="D423" s="26" t="s">
        <v>1070</v>
      </c>
      <c r="E423" s="26" t="s">
        <v>142</v>
      </c>
      <c r="F423" s="28">
        <v>658613443</v>
      </c>
      <c r="G423" s="26" t="s">
        <v>160</v>
      </c>
      <c r="H423" s="26" t="s">
        <v>344</v>
      </c>
      <c r="I423" s="26" t="s">
        <v>556</v>
      </c>
      <c r="J423" s="30">
        <v>45420</v>
      </c>
      <c r="K423" s="26" t="s">
        <v>546</v>
      </c>
      <c r="L423" s="26" t="s">
        <v>1071</v>
      </c>
      <c r="M423" s="30">
        <v>45420</v>
      </c>
      <c r="N423" s="26" t="s">
        <v>1071</v>
      </c>
      <c r="O423" s="26" t="s">
        <v>582</v>
      </c>
      <c r="P423" s="31">
        <v>30</v>
      </c>
      <c r="Q423" s="31">
        <v>10</v>
      </c>
      <c r="R423" s="26" t="s">
        <v>547</v>
      </c>
      <c r="S423" s="26"/>
      <c r="T423" s="31"/>
      <c r="U423" s="26"/>
      <c r="V423" s="26">
        <f t="shared" si="36"/>
        <v>1</v>
      </c>
      <c r="W423" s="26">
        <f t="shared" si="40"/>
        <v>1</v>
      </c>
      <c r="X423" s="26">
        <f>Data_Base[[#This Row],[B.N Total]]-Data_Base[[#This Row],[Nbre Brachements exécuté]]</f>
        <v>0</v>
      </c>
      <c r="Y423" s="26" t="str">
        <f t="shared" si="37"/>
        <v>lundi</v>
      </c>
      <c r="Z423" s="26" t="str">
        <f t="shared" si="38"/>
        <v>06</v>
      </c>
      <c r="AA423" s="26" t="str">
        <f t="shared" si="41"/>
        <v>05</v>
      </c>
      <c r="AB423" s="26" t="str">
        <f t="shared" si="39"/>
        <v>2024</v>
      </c>
    </row>
    <row r="424" spans="1:28" x14ac:dyDescent="0.25">
      <c r="A424" s="30">
        <v>45418</v>
      </c>
      <c r="B424" s="26" t="s">
        <v>1069</v>
      </c>
      <c r="C424" s="26" t="s">
        <v>3</v>
      </c>
      <c r="D424" s="26" t="s">
        <v>1070</v>
      </c>
      <c r="E424" s="26" t="s">
        <v>142</v>
      </c>
      <c r="F424" s="28">
        <v>658613443</v>
      </c>
      <c r="G424" s="26" t="s">
        <v>160</v>
      </c>
      <c r="H424" s="26" t="s">
        <v>344</v>
      </c>
      <c r="I424" s="26" t="s">
        <v>556</v>
      </c>
      <c r="J424" s="30">
        <v>45420</v>
      </c>
      <c r="K424" s="26" t="s">
        <v>546</v>
      </c>
      <c r="L424" s="26" t="s">
        <v>1072</v>
      </c>
      <c r="M424" s="30">
        <v>45420</v>
      </c>
      <c r="N424" s="26" t="s">
        <v>1071</v>
      </c>
      <c r="O424" s="26" t="s">
        <v>582</v>
      </c>
      <c r="P424" s="31">
        <v>30</v>
      </c>
      <c r="Q424" s="31">
        <v>10</v>
      </c>
      <c r="R424" s="26" t="s">
        <v>547</v>
      </c>
      <c r="S424" s="26"/>
      <c r="T424" s="31"/>
      <c r="U424" s="26"/>
      <c r="V424" s="26">
        <f t="shared" si="36"/>
        <v>1</v>
      </c>
      <c r="W424" s="26">
        <f t="shared" si="40"/>
        <v>1</v>
      </c>
      <c r="X424" s="26">
        <f>Data_Base[[#This Row],[B.N Total]]-Data_Base[[#This Row],[Nbre Brachements exécuté]]</f>
        <v>0</v>
      </c>
      <c r="Y424" s="26" t="str">
        <f t="shared" si="37"/>
        <v>lundi</v>
      </c>
      <c r="Z424" s="26" t="str">
        <f t="shared" si="38"/>
        <v>06</v>
      </c>
      <c r="AA424" s="26" t="str">
        <f t="shared" si="41"/>
        <v>05</v>
      </c>
      <c r="AB424" s="26" t="str">
        <f t="shared" si="39"/>
        <v>2024</v>
      </c>
    </row>
    <row r="425" spans="1:28" x14ac:dyDescent="0.25">
      <c r="A425" s="30">
        <v>45418</v>
      </c>
      <c r="B425" s="26" t="s">
        <v>1073</v>
      </c>
      <c r="C425" s="26" t="s">
        <v>66</v>
      </c>
      <c r="D425" s="26" t="s">
        <v>1074</v>
      </c>
      <c r="E425" s="26"/>
      <c r="F425" s="28">
        <v>696659768</v>
      </c>
      <c r="G425" s="26" t="s">
        <v>160</v>
      </c>
      <c r="H425" s="26" t="s">
        <v>325</v>
      </c>
      <c r="I425" s="26" t="s">
        <v>579</v>
      </c>
      <c r="J425" s="30">
        <v>45419</v>
      </c>
      <c r="K425" s="26" t="s">
        <v>546</v>
      </c>
      <c r="M425" s="30"/>
      <c r="O425" s="26"/>
      <c r="P425" s="31"/>
      <c r="Q425" s="31"/>
      <c r="R425" s="26"/>
      <c r="S425" s="26"/>
      <c r="T425" s="31"/>
      <c r="U425" s="26"/>
      <c r="V425" s="26">
        <f t="shared" si="36"/>
        <v>1</v>
      </c>
      <c r="W425" s="26">
        <f t="shared" si="40"/>
        <v>0</v>
      </c>
      <c r="X425" s="26">
        <f>Data_Base[[#This Row],[B.N Total]]-Data_Base[[#This Row],[Nbre Brachements exécuté]]</f>
        <v>1</v>
      </c>
      <c r="Y425" s="26" t="str">
        <f t="shared" si="37"/>
        <v>lundi</v>
      </c>
      <c r="Z425" s="26" t="str">
        <f t="shared" si="38"/>
        <v>06</v>
      </c>
      <c r="AA425" s="26" t="str">
        <f t="shared" si="41"/>
        <v>05</v>
      </c>
      <c r="AB425" s="26" t="str">
        <f t="shared" si="39"/>
        <v>2024</v>
      </c>
    </row>
    <row r="426" spans="1:28" x14ac:dyDescent="0.25">
      <c r="A426" s="30">
        <v>45418</v>
      </c>
      <c r="B426" s="26" t="s">
        <v>1073</v>
      </c>
      <c r="C426" s="26" t="s">
        <v>66</v>
      </c>
      <c r="D426" s="26" t="s">
        <v>1075</v>
      </c>
      <c r="E426" s="26"/>
      <c r="F426" s="28">
        <v>696659768</v>
      </c>
      <c r="G426" s="26" t="s">
        <v>160</v>
      </c>
      <c r="H426" s="26" t="s">
        <v>325</v>
      </c>
      <c r="I426" s="26" t="s">
        <v>579</v>
      </c>
      <c r="J426" s="30">
        <v>45419</v>
      </c>
      <c r="K426" s="26" t="s">
        <v>546</v>
      </c>
      <c r="M426" s="30"/>
      <c r="O426" s="26"/>
      <c r="P426" s="31"/>
      <c r="Q426" s="31"/>
      <c r="R426" s="26"/>
      <c r="S426" s="26"/>
      <c r="T426" s="31"/>
      <c r="U426" s="26"/>
      <c r="V426" s="26">
        <f t="shared" si="36"/>
        <v>1</v>
      </c>
      <c r="W426" s="26">
        <f t="shared" si="40"/>
        <v>0</v>
      </c>
      <c r="X426" s="26">
        <f>Data_Base[[#This Row],[B.N Total]]-Data_Base[[#This Row],[Nbre Brachements exécuté]]</f>
        <v>1</v>
      </c>
      <c r="Y426" s="26" t="str">
        <f t="shared" si="37"/>
        <v>lundi</v>
      </c>
      <c r="Z426" s="26" t="str">
        <f t="shared" si="38"/>
        <v>06</v>
      </c>
      <c r="AA426" s="26" t="str">
        <f t="shared" si="41"/>
        <v>05</v>
      </c>
      <c r="AB426" s="26" t="str">
        <f t="shared" si="39"/>
        <v>2024</v>
      </c>
    </row>
    <row r="427" spans="1:28" x14ac:dyDescent="0.25">
      <c r="A427" s="30">
        <v>45418</v>
      </c>
      <c r="B427" s="26" t="s">
        <v>1076</v>
      </c>
      <c r="C427" s="26" t="s">
        <v>66</v>
      </c>
      <c r="D427" s="26" t="s">
        <v>1077</v>
      </c>
      <c r="E427" s="26" t="s">
        <v>142</v>
      </c>
      <c r="F427" s="28">
        <v>691179697</v>
      </c>
      <c r="G427" s="26" t="s">
        <v>160</v>
      </c>
      <c r="H427" s="26" t="s">
        <v>325</v>
      </c>
      <c r="I427" s="26" t="s">
        <v>579</v>
      </c>
      <c r="J427" s="30">
        <v>45420</v>
      </c>
      <c r="K427" s="26" t="s">
        <v>546</v>
      </c>
      <c r="L427" s="26" t="s">
        <v>1078</v>
      </c>
      <c r="M427" s="30">
        <v>45420</v>
      </c>
      <c r="N427" s="26" t="s">
        <v>1078</v>
      </c>
      <c r="O427" s="26" t="s">
        <v>582</v>
      </c>
      <c r="P427" s="31">
        <v>30</v>
      </c>
      <c r="Q427" s="31">
        <v>10</v>
      </c>
      <c r="R427" s="26" t="s">
        <v>547</v>
      </c>
      <c r="S427" s="26"/>
      <c r="T427" s="31"/>
      <c r="U427" s="26"/>
      <c r="V427" s="26">
        <f t="shared" si="36"/>
        <v>1</v>
      </c>
      <c r="W427" s="26">
        <f t="shared" si="40"/>
        <v>1</v>
      </c>
      <c r="X427" s="26">
        <f>Data_Base[[#This Row],[B.N Total]]-Data_Base[[#This Row],[Nbre Brachements exécuté]]</f>
        <v>0</v>
      </c>
      <c r="Y427" s="26" t="str">
        <f t="shared" si="37"/>
        <v>lundi</v>
      </c>
      <c r="Z427" s="26" t="str">
        <f t="shared" si="38"/>
        <v>06</v>
      </c>
      <c r="AA427" s="26" t="str">
        <f t="shared" si="41"/>
        <v>05</v>
      </c>
      <c r="AB427" s="26" t="str">
        <f t="shared" si="39"/>
        <v>2024</v>
      </c>
    </row>
    <row r="428" spans="1:28" x14ac:dyDescent="0.25">
      <c r="A428" s="30">
        <v>45419</v>
      </c>
      <c r="B428" s="26" t="s">
        <v>1079</v>
      </c>
      <c r="C428" s="26" t="s">
        <v>66</v>
      </c>
      <c r="D428" s="26" t="s">
        <v>1080</v>
      </c>
      <c r="E428" s="26" t="s">
        <v>142</v>
      </c>
      <c r="F428" s="28">
        <v>696958847</v>
      </c>
      <c r="G428" s="26" t="s">
        <v>160</v>
      </c>
      <c r="H428" s="26" t="s">
        <v>567</v>
      </c>
      <c r="I428" s="26" t="s">
        <v>573</v>
      </c>
      <c r="J428" s="30">
        <v>45419</v>
      </c>
      <c r="K428" s="26" t="s">
        <v>546</v>
      </c>
      <c r="L428" s="26" t="s">
        <v>1081</v>
      </c>
      <c r="M428" s="30">
        <v>45419</v>
      </c>
      <c r="N428" s="26" t="s">
        <v>1081</v>
      </c>
      <c r="O428" s="26" t="s">
        <v>582</v>
      </c>
      <c r="P428" s="31">
        <v>15</v>
      </c>
      <c r="Q428" s="31">
        <v>10</v>
      </c>
      <c r="R428" s="26" t="s">
        <v>547</v>
      </c>
      <c r="S428" s="26"/>
      <c r="T428" s="31"/>
      <c r="U428" s="26"/>
      <c r="V428" s="26">
        <f t="shared" si="36"/>
        <v>1</v>
      </c>
      <c r="W428" s="26">
        <f t="shared" si="40"/>
        <v>1</v>
      </c>
      <c r="X428" s="26">
        <f>Data_Base[[#This Row],[B.N Total]]-Data_Base[[#This Row],[Nbre Brachements exécuté]]</f>
        <v>0</v>
      </c>
      <c r="Y428" s="26" t="str">
        <f t="shared" si="37"/>
        <v>mardi</v>
      </c>
      <c r="Z428" s="26" t="str">
        <f t="shared" si="38"/>
        <v>07</v>
      </c>
      <c r="AA428" s="26" t="str">
        <f t="shared" si="41"/>
        <v>05</v>
      </c>
      <c r="AB428" s="26" t="str">
        <f t="shared" si="39"/>
        <v>2024</v>
      </c>
    </row>
    <row r="429" spans="1:28" x14ac:dyDescent="0.25">
      <c r="A429" s="30">
        <v>45419</v>
      </c>
      <c r="B429" s="26" t="s">
        <v>1082</v>
      </c>
      <c r="C429" s="26" t="s">
        <v>66</v>
      </c>
      <c r="D429" s="26" t="s">
        <v>1083</v>
      </c>
      <c r="E429" s="26" t="s">
        <v>142</v>
      </c>
      <c r="F429" s="28">
        <v>697168684</v>
      </c>
      <c r="G429" s="26" t="s">
        <v>160</v>
      </c>
      <c r="H429" s="26" t="s">
        <v>325</v>
      </c>
      <c r="I429" s="26" t="s">
        <v>579</v>
      </c>
      <c r="J429" s="30">
        <v>45422</v>
      </c>
      <c r="K429" s="26" t="s">
        <v>546</v>
      </c>
      <c r="L429" s="26" t="s">
        <v>1158</v>
      </c>
      <c r="M429" s="30">
        <v>45422</v>
      </c>
      <c r="N429" s="26" t="s">
        <v>1158</v>
      </c>
      <c r="O429" s="26" t="s">
        <v>582</v>
      </c>
      <c r="P429" s="31">
        <v>10</v>
      </c>
      <c r="Q429" s="31">
        <v>10</v>
      </c>
      <c r="R429" s="26" t="s">
        <v>547</v>
      </c>
      <c r="S429" s="26"/>
      <c r="T429" s="31"/>
      <c r="U429" s="26"/>
      <c r="V429" s="26">
        <f t="shared" si="36"/>
        <v>1</v>
      </c>
      <c r="W429" s="26">
        <f t="shared" si="40"/>
        <v>1</v>
      </c>
      <c r="X429" s="26">
        <f>Data_Base[[#This Row],[B.N Total]]-Data_Base[[#This Row],[Nbre Brachements exécuté]]</f>
        <v>0</v>
      </c>
      <c r="Y429" s="26" t="str">
        <f t="shared" si="37"/>
        <v>mardi</v>
      </c>
      <c r="Z429" s="26" t="str">
        <f t="shared" si="38"/>
        <v>07</v>
      </c>
      <c r="AA429" s="26" t="str">
        <f t="shared" si="41"/>
        <v>05</v>
      </c>
      <c r="AB429" s="26" t="str">
        <f t="shared" si="39"/>
        <v>2024</v>
      </c>
    </row>
    <row r="430" spans="1:28" x14ac:dyDescent="0.25">
      <c r="A430" s="30">
        <v>45419</v>
      </c>
      <c r="B430" s="26" t="s">
        <v>1084</v>
      </c>
      <c r="C430" s="26" t="s">
        <v>66</v>
      </c>
      <c r="D430" s="26" t="s">
        <v>1085</v>
      </c>
      <c r="E430" s="26"/>
      <c r="G430" s="26"/>
      <c r="H430" s="26"/>
      <c r="I430" s="26"/>
      <c r="J430" s="30"/>
      <c r="K430" s="26"/>
      <c r="M430" s="30"/>
      <c r="O430" s="26"/>
      <c r="P430" s="31"/>
      <c r="Q430" s="31"/>
      <c r="R430" s="26"/>
      <c r="S430" s="26"/>
      <c r="T430" s="31"/>
      <c r="U430" s="26"/>
      <c r="V430" s="26">
        <f t="shared" si="36"/>
        <v>1</v>
      </c>
      <c r="W430" s="26">
        <f t="shared" si="40"/>
        <v>0</v>
      </c>
      <c r="X430" s="26">
        <f>Data_Base[[#This Row],[B.N Total]]-Data_Base[[#This Row],[Nbre Brachements exécuté]]</f>
        <v>1</v>
      </c>
      <c r="Y430" s="26" t="str">
        <f t="shared" si="37"/>
        <v>mardi</v>
      </c>
      <c r="Z430" s="26" t="str">
        <f t="shared" si="38"/>
        <v>07</v>
      </c>
      <c r="AA430" s="26" t="str">
        <f t="shared" si="41"/>
        <v>05</v>
      </c>
      <c r="AB430" s="26" t="str">
        <f t="shared" si="39"/>
        <v>2024</v>
      </c>
    </row>
    <row r="431" spans="1:28" x14ac:dyDescent="0.25">
      <c r="A431" s="30">
        <v>45419</v>
      </c>
      <c r="B431" s="26" t="s">
        <v>1086</v>
      </c>
      <c r="C431" s="26" t="s">
        <v>66</v>
      </c>
      <c r="D431" s="26" t="s">
        <v>1087</v>
      </c>
      <c r="E431" s="26"/>
      <c r="G431" s="26"/>
      <c r="H431" s="26"/>
      <c r="I431" s="26"/>
      <c r="J431" s="30"/>
      <c r="K431" s="26"/>
      <c r="M431" s="30"/>
      <c r="O431" s="26"/>
      <c r="P431" s="31"/>
      <c r="Q431" s="31"/>
      <c r="R431" s="26"/>
      <c r="S431" s="26"/>
      <c r="T431" s="31"/>
      <c r="U431" s="26"/>
      <c r="V431" s="26">
        <f t="shared" si="36"/>
        <v>1</v>
      </c>
      <c r="W431" s="26">
        <f t="shared" si="40"/>
        <v>0</v>
      </c>
      <c r="X431" s="26">
        <f>Data_Base[[#This Row],[B.N Total]]-Data_Base[[#This Row],[Nbre Brachements exécuté]]</f>
        <v>1</v>
      </c>
      <c r="Y431" s="26" t="str">
        <f t="shared" si="37"/>
        <v>mardi</v>
      </c>
      <c r="Z431" s="26" t="str">
        <f t="shared" si="38"/>
        <v>07</v>
      </c>
      <c r="AA431" s="26" t="str">
        <f t="shared" si="41"/>
        <v>05</v>
      </c>
      <c r="AB431" s="26" t="str">
        <f t="shared" si="39"/>
        <v>2024</v>
      </c>
    </row>
    <row r="432" spans="1:28" x14ac:dyDescent="0.25">
      <c r="A432" s="30">
        <v>45419</v>
      </c>
      <c r="B432" s="26" t="s">
        <v>272</v>
      </c>
      <c r="C432" s="26" t="s">
        <v>2</v>
      </c>
      <c r="D432" s="26" t="s">
        <v>273</v>
      </c>
      <c r="E432" s="26"/>
      <c r="G432" s="26"/>
      <c r="H432" s="26"/>
      <c r="I432" s="26"/>
      <c r="J432" s="30"/>
      <c r="K432" s="26"/>
      <c r="M432" s="30"/>
      <c r="O432" s="26"/>
      <c r="P432" s="31"/>
      <c r="Q432" s="31"/>
      <c r="R432" s="26"/>
      <c r="S432" s="26"/>
      <c r="T432" s="31"/>
      <c r="U432" s="26"/>
      <c r="V432" s="26">
        <f t="shared" si="36"/>
        <v>1</v>
      </c>
      <c r="W432" s="26">
        <f t="shared" si="40"/>
        <v>0</v>
      </c>
      <c r="X432" s="26">
        <f>Data_Base[[#This Row],[B.N Total]]-Data_Base[[#This Row],[Nbre Brachements exécuté]]</f>
        <v>1</v>
      </c>
      <c r="Y432" s="26" t="str">
        <f t="shared" si="37"/>
        <v>mardi</v>
      </c>
      <c r="Z432" s="26" t="str">
        <f t="shared" si="38"/>
        <v>07</v>
      </c>
      <c r="AA432" s="26" t="str">
        <f t="shared" si="41"/>
        <v>05</v>
      </c>
      <c r="AB432" s="26" t="str">
        <f t="shared" si="39"/>
        <v>2024</v>
      </c>
    </row>
    <row r="433" spans="1:28" x14ac:dyDescent="0.25">
      <c r="A433" s="30">
        <v>45419</v>
      </c>
      <c r="B433" s="26" t="s">
        <v>1159</v>
      </c>
      <c r="C433" s="26" t="s">
        <v>2</v>
      </c>
      <c r="D433" s="26" t="s">
        <v>1160</v>
      </c>
      <c r="E433" s="26"/>
      <c r="F433" s="28">
        <v>693953219</v>
      </c>
      <c r="G433" s="26" t="s">
        <v>160</v>
      </c>
      <c r="H433" s="26" t="s">
        <v>567</v>
      </c>
      <c r="I433" s="26" t="s">
        <v>573</v>
      </c>
      <c r="J433" s="30">
        <v>45422</v>
      </c>
      <c r="K433" s="26" t="s">
        <v>546</v>
      </c>
      <c r="M433" s="30"/>
      <c r="O433" s="26"/>
      <c r="P433" s="31"/>
      <c r="Q433" s="31"/>
      <c r="R433" s="26"/>
      <c r="S433" s="26"/>
      <c r="T433" s="31"/>
      <c r="U433" s="26"/>
      <c r="V433" s="26">
        <f t="shared" si="36"/>
        <v>1</v>
      </c>
      <c r="W433" s="26">
        <f t="shared" si="40"/>
        <v>0</v>
      </c>
      <c r="X433" s="26">
        <f>Data_Base[[#This Row],[B.N Total]]-Data_Base[[#This Row],[Nbre Brachements exécuté]]</f>
        <v>1</v>
      </c>
      <c r="Y433" s="26" t="str">
        <f t="shared" si="37"/>
        <v>mardi</v>
      </c>
      <c r="Z433" s="26" t="str">
        <f t="shared" si="38"/>
        <v>07</v>
      </c>
      <c r="AA433" s="26" t="str">
        <f t="shared" si="41"/>
        <v>05</v>
      </c>
      <c r="AB433" s="26" t="str">
        <f t="shared" si="39"/>
        <v>2024</v>
      </c>
    </row>
    <row r="434" spans="1:28" x14ac:dyDescent="0.25">
      <c r="A434" s="30">
        <v>45419</v>
      </c>
      <c r="B434" s="26" t="s">
        <v>1161</v>
      </c>
      <c r="C434" s="26" t="s">
        <v>2</v>
      </c>
      <c r="D434" s="26" t="s">
        <v>1162</v>
      </c>
      <c r="E434" s="26"/>
      <c r="F434" s="28">
        <v>696559051</v>
      </c>
      <c r="G434" s="26" t="s">
        <v>160</v>
      </c>
      <c r="H434" s="26" t="s">
        <v>567</v>
      </c>
      <c r="I434" s="26" t="s">
        <v>573</v>
      </c>
      <c r="J434" s="30">
        <v>45422</v>
      </c>
      <c r="K434" s="26" t="s">
        <v>546</v>
      </c>
      <c r="M434" s="30"/>
      <c r="O434" s="26"/>
      <c r="P434" s="31"/>
      <c r="Q434" s="31"/>
      <c r="R434" s="26"/>
      <c r="S434" s="26"/>
      <c r="T434" s="31"/>
      <c r="U434" s="26"/>
      <c r="V434" s="26">
        <f t="shared" si="36"/>
        <v>1</v>
      </c>
      <c r="W434" s="26">
        <f t="shared" si="40"/>
        <v>0</v>
      </c>
      <c r="X434" s="26">
        <f>Data_Base[[#This Row],[B.N Total]]-Data_Base[[#This Row],[Nbre Brachements exécuté]]</f>
        <v>1</v>
      </c>
      <c r="Y434" s="26" t="str">
        <f t="shared" si="37"/>
        <v>mardi</v>
      </c>
      <c r="Z434" s="26" t="str">
        <f t="shared" si="38"/>
        <v>07</v>
      </c>
      <c r="AA434" s="26" t="str">
        <f t="shared" si="41"/>
        <v>05</v>
      </c>
      <c r="AB434" s="26" t="str">
        <f t="shared" si="39"/>
        <v>2024</v>
      </c>
    </row>
    <row r="435" spans="1:28" x14ac:dyDescent="0.25">
      <c r="A435" s="30">
        <v>45419</v>
      </c>
      <c r="B435" s="26" t="s">
        <v>266</v>
      </c>
      <c r="C435" s="26" t="s">
        <v>2</v>
      </c>
      <c r="D435" s="26" t="s">
        <v>267</v>
      </c>
      <c r="E435" s="26"/>
      <c r="G435" s="26"/>
      <c r="H435" s="26"/>
      <c r="I435" s="26"/>
      <c r="J435" s="30"/>
      <c r="K435" s="26"/>
      <c r="M435" s="30"/>
      <c r="O435" s="26"/>
      <c r="P435" s="31"/>
      <c r="Q435" s="31"/>
      <c r="R435" s="26"/>
      <c r="S435" s="26"/>
      <c r="T435" s="31"/>
      <c r="U435" s="26"/>
      <c r="V435" s="26">
        <f t="shared" si="36"/>
        <v>1</v>
      </c>
      <c r="W435" s="26">
        <f t="shared" si="40"/>
        <v>0</v>
      </c>
      <c r="X435" s="26">
        <f>Data_Base[[#This Row],[B.N Total]]-Data_Base[[#This Row],[Nbre Brachements exécuté]]</f>
        <v>1</v>
      </c>
      <c r="Y435" s="26" t="str">
        <f t="shared" si="37"/>
        <v>mardi</v>
      </c>
      <c r="Z435" s="26" t="str">
        <f t="shared" si="38"/>
        <v>07</v>
      </c>
      <c r="AA435" s="26" t="str">
        <f t="shared" si="41"/>
        <v>05</v>
      </c>
      <c r="AB435" s="26" t="str">
        <f t="shared" si="39"/>
        <v>2024</v>
      </c>
    </row>
    <row r="436" spans="1:28" x14ac:dyDescent="0.25">
      <c r="A436" s="30">
        <v>45419</v>
      </c>
      <c r="B436" s="26" t="s">
        <v>422</v>
      </c>
      <c r="C436" s="26" t="s">
        <v>2</v>
      </c>
      <c r="D436" s="26" t="s">
        <v>423</v>
      </c>
      <c r="E436" s="26"/>
      <c r="G436" s="26"/>
      <c r="H436" s="26"/>
      <c r="I436" s="26"/>
      <c r="J436" s="30"/>
      <c r="K436" s="26"/>
      <c r="M436" s="30"/>
      <c r="O436" s="26"/>
      <c r="P436" s="31"/>
      <c r="Q436" s="31"/>
      <c r="R436" s="26"/>
      <c r="S436" s="26"/>
      <c r="T436" s="31"/>
      <c r="U436" s="26"/>
      <c r="V436" s="26">
        <f t="shared" si="36"/>
        <v>1</v>
      </c>
      <c r="W436" s="26">
        <f t="shared" si="40"/>
        <v>0</v>
      </c>
      <c r="X436" s="26">
        <f>Data_Base[[#This Row],[B.N Total]]-Data_Base[[#This Row],[Nbre Brachements exécuté]]</f>
        <v>1</v>
      </c>
      <c r="Y436" s="26" t="str">
        <f t="shared" si="37"/>
        <v>mardi</v>
      </c>
      <c r="Z436" s="26" t="str">
        <f t="shared" si="38"/>
        <v>07</v>
      </c>
      <c r="AA436" s="26" t="str">
        <f t="shared" si="41"/>
        <v>05</v>
      </c>
      <c r="AB436" s="26" t="str">
        <f t="shared" si="39"/>
        <v>2024</v>
      </c>
    </row>
    <row r="437" spans="1:28" x14ac:dyDescent="0.25">
      <c r="A437" s="30">
        <v>45419</v>
      </c>
      <c r="B437" s="26" t="s">
        <v>1088</v>
      </c>
      <c r="C437" s="26" t="s">
        <v>66</v>
      </c>
      <c r="D437" s="26" t="s">
        <v>1089</v>
      </c>
      <c r="E437" s="26"/>
      <c r="G437" s="26"/>
      <c r="H437" s="26"/>
      <c r="I437" s="26"/>
      <c r="J437" s="30"/>
      <c r="K437" s="26"/>
      <c r="M437" s="30"/>
      <c r="O437" s="26"/>
      <c r="P437" s="31"/>
      <c r="Q437" s="31"/>
      <c r="R437" s="26"/>
      <c r="S437" s="26"/>
      <c r="T437" s="31"/>
      <c r="U437" s="26"/>
      <c r="V437" s="26">
        <f t="shared" si="36"/>
        <v>1</v>
      </c>
      <c r="W437" s="26">
        <f t="shared" si="40"/>
        <v>0</v>
      </c>
      <c r="X437" s="26">
        <f>Data_Base[[#This Row],[B.N Total]]-Data_Base[[#This Row],[Nbre Brachements exécuté]]</f>
        <v>1</v>
      </c>
      <c r="Y437" s="26" t="str">
        <f t="shared" si="37"/>
        <v>mardi</v>
      </c>
      <c r="Z437" s="26" t="str">
        <f t="shared" si="38"/>
        <v>07</v>
      </c>
      <c r="AA437" s="26" t="str">
        <f t="shared" si="41"/>
        <v>05</v>
      </c>
      <c r="AB437" s="26" t="str">
        <f t="shared" si="39"/>
        <v>2024</v>
      </c>
    </row>
    <row r="438" spans="1:28" x14ac:dyDescent="0.25">
      <c r="A438" s="30">
        <v>45419</v>
      </c>
      <c r="B438" s="26" t="s">
        <v>1090</v>
      </c>
      <c r="C438" s="26" t="s">
        <v>2</v>
      </c>
      <c r="D438" s="26" t="s">
        <v>1091</v>
      </c>
      <c r="E438" s="26"/>
      <c r="G438" s="26"/>
      <c r="H438" s="26"/>
      <c r="I438" s="26"/>
      <c r="J438" s="30"/>
      <c r="K438" s="26"/>
      <c r="M438" s="30"/>
      <c r="O438" s="26"/>
      <c r="P438" s="31"/>
      <c r="Q438" s="31"/>
      <c r="R438" s="26"/>
      <c r="S438" s="26"/>
      <c r="T438" s="31"/>
      <c r="U438" s="26"/>
      <c r="V438" s="26">
        <f t="shared" si="36"/>
        <v>1</v>
      </c>
      <c r="W438" s="26">
        <f t="shared" si="40"/>
        <v>0</v>
      </c>
      <c r="X438" s="26">
        <f>Data_Base[[#This Row],[B.N Total]]-Data_Base[[#This Row],[Nbre Brachements exécuté]]</f>
        <v>1</v>
      </c>
      <c r="Y438" s="26" t="str">
        <f t="shared" si="37"/>
        <v>mardi</v>
      </c>
      <c r="Z438" s="26" t="str">
        <f t="shared" si="38"/>
        <v>07</v>
      </c>
      <c r="AA438" s="26" t="str">
        <f t="shared" si="41"/>
        <v>05</v>
      </c>
      <c r="AB438" s="26" t="str">
        <f t="shared" si="39"/>
        <v>2024</v>
      </c>
    </row>
    <row r="439" spans="1:28" x14ac:dyDescent="0.25">
      <c r="A439" s="30">
        <v>45419</v>
      </c>
      <c r="B439" s="26" t="s">
        <v>1092</v>
      </c>
      <c r="C439" s="26" t="s">
        <v>2</v>
      </c>
      <c r="D439" s="26" t="s">
        <v>1093</v>
      </c>
      <c r="E439" s="26"/>
      <c r="G439" s="26"/>
      <c r="H439" s="26"/>
      <c r="I439" s="26"/>
      <c r="J439" s="30"/>
      <c r="K439" s="26"/>
      <c r="M439" s="30"/>
      <c r="O439" s="26"/>
      <c r="P439" s="31"/>
      <c r="Q439" s="31"/>
      <c r="R439" s="26"/>
      <c r="S439" s="26"/>
      <c r="T439" s="31"/>
      <c r="U439" s="26"/>
      <c r="V439" s="26">
        <f t="shared" si="36"/>
        <v>1</v>
      </c>
      <c r="W439" s="26">
        <f t="shared" si="40"/>
        <v>0</v>
      </c>
      <c r="X439" s="26">
        <f>Data_Base[[#This Row],[B.N Total]]-Data_Base[[#This Row],[Nbre Brachements exécuté]]</f>
        <v>1</v>
      </c>
      <c r="Y439" s="26" t="str">
        <f t="shared" si="37"/>
        <v>mardi</v>
      </c>
      <c r="Z439" s="26" t="str">
        <f t="shared" si="38"/>
        <v>07</v>
      </c>
      <c r="AA439" s="26" t="str">
        <f t="shared" si="41"/>
        <v>05</v>
      </c>
      <c r="AB439" s="26" t="str">
        <f t="shared" si="39"/>
        <v>2024</v>
      </c>
    </row>
    <row r="440" spans="1:28" x14ac:dyDescent="0.25">
      <c r="A440" s="30">
        <v>45419</v>
      </c>
      <c r="B440" s="26" t="s">
        <v>1094</v>
      </c>
      <c r="C440" s="26" t="s">
        <v>66</v>
      </c>
      <c r="D440" s="26" t="s">
        <v>1095</v>
      </c>
      <c r="E440" s="26"/>
      <c r="G440" s="26"/>
      <c r="H440" s="26"/>
      <c r="I440" s="26"/>
      <c r="J440" s="30"/>
      <c r="K440" s="26"/>
      <c r="M440" s="30"/>
      <c r="O440" s="26"/>
      <c r="P440" s="31"/>
      <c r="Q440" s="31"/>
      <c r="R440" s="26"/>
      <c r="S440" s="26"/>
      <c r="T440" s="31"/>
      <c r="U440" s="26"/>
      <c r="V440" s="26">
        <f t="shared" si="36"/>
        <v>1</v>
      </c>
      <c r="W440" s="26">
        <f t="shared" si="40"/>
        <v>0</v>
      </c>
      <c r="X440" s="26">
        <f>Data_Base[[#This Row],[B.N Total]]-Data_Base[[#This Row],[Nbre Brachements exécuté]]</f>
        <v>1</v>
      </c>
      <c r="Y440" s="26" t="str">
        <f t="shared" si="37"/>
        <v>mardi</v>
      </c>
      <c r="Z440" s="26" t="str">
        <f t="shared" si="38"/>
        <v>07</v>
      </c>
      <c r="AA440" s="26" t="str">
        <f t="shared" si="41"/>
        <v>05</v>
      </c>
      <c r="AB440" s="26" t="str">
        <f t="shared" si="39"/>
        <v>2024</v>
      </c>
    </row>
    <row r="441" spans="1:28" x14ac:dyDescent="0.25">
      <c r="A441" s="30">
        <v>45419</v>
      </c>
      <c r="B441" s="26" t="s">
        <v>1096</v>
      </c>
      <c r="C441" s="26" t="s">
        <v>2</v>
      </c>
      <c r="D441" s="26" t="s">
        <v>1097</v>
      </c>
      <c r="E441" s="26"/>
      <c r="G441" s="26"/>
      <c r="H441" s="26"/>
      <c r="I441" s="26"/>
      <c r="J441" s="30"/>
      <c r="K441" s="26"/>
      <c r="M441" s="30"/>
      <c r="O441" s="26"/>
      <c r="P441" s="31"/>
      <c r="Q441" s="31"/>
      <c r="R441" s="26"/>
      <c r="S441" s="26"/>
      <c r="T441" s="31"/>
      <c r="U441" s="26"/>
      <c r="V441" s="26">
        <f t="shared" si="36"/>
        <v>1</v>
      </c>
      <c r="W441" s="26">
        <f t="shared" si="40"/>
        <v>0</v>
      </c>
      <c r="X441" s="26">
        <f>Data_Base[[#This Row],[B.N Total]]-Data_Base[[#This Row],[Nbre Brachements exécuté]]</f>
        <v>1</v>
      </c>
      <c r="Y441" s="26" t="str">
        <f t="shared" si="37"/>
        <v>mardi</v>
      </c>
      <c r="Z441" s="26" t="str">
        <f t="shared" si="38"/>
        <v>07</v>
      </c>
      <c r="AA441" s="26" t="str">
        <f t="shared" si="41"/>
        <v>05</v>
      </c>
      <c r="AB441" s="26" t="str">
        <f t="shared" si="39"/>
        <v>2024</v>
      </c>
    </row>
    <row r="442" spans="1:28" x14ac:dyDescent="0.25">
      <c r="A442" s="30">
        <v>45419</v>
      </c>
      <c r="B442" s="26" t="s">
        <v>1098</v>
      </c>
      <c r="C442" s="26" t="s">
        <v>66</v>
      </c>
      <c r="D442" s="26" t="s">
        <v>410</v>
      </c>
      <c r="E442" s="26" t="s">
        <v>142</v>
      </c>
      <c r="F442" s="28">
        <v>676730724</v>
      </c>
      <c r="G442" s="26" t="s">
        <v>160</v>
      </c>
      <c r="H442" s="26" t="s">
        <v>567</v>
      </c>
      <c r="I442" s="26" t="s">
        <v>573</v>
      </c>
      <c r="J442" s="30">
        <v>45419</v>
      </c>
      <c r="K442" s="26" t="s">
        <v>546</v>
      </c>
      <c r="L442" s="26" t="s">
        <v>1099</v>
      </c>
      <c r="M442" s="30">
        <v>45419</v>
      </c>
      <c r="N442" s="26" t="s">
        <v>1099</v>
      </c>
      <c r="O442" s="26" t="s">
        <v>582</v>
      </c>
      <c r="P442" s="31">
        <v>15</v>
      </c>
      <c r="Q442" s="31">
        <v>10</v>
      </c>
      <c r="R442" s="26" t="s">
        <v>547</v>
      </c>
      <c r="S442" s="26"/>
      <c r="T442" s="31"/>
      <c r="U442" s="26"/>
      <c r="V442" s="26">
        <f t="shared" si="36"/>
        <v>1</v>
      </c>
      <c r="W442" s="26">
        <f t="shared" si="40"/>
        <v>1</v>
      </c>
      <c r="X442" s="26">
        <f>Data_Base[[#This Row],[B.N Total]]-Data_Base[[#This Row],[Nbre Brachements exécuté]]</f>
        <v>0</v>
      </c>
      <c r="Y442" s="26" t="str">
        <f t="shared" si="37"/>
        <v>mardi</v>
      </c>
      <c r="Z442" s="26" t="str">
        <f t="shared" si="38"/>
        <v>07</v>
      </c>
      <c r="AA442" s="26" t="str">
        <f t="shared" si="41"/>
        <v>05</v>
      </c>
      <c r="AB442" s="26" t="str">
        <f t="shared" si="39"/>
        <v>2024</v>
      </c>
    </row>
    <row r="443" spans="1:28" x14ac:dyDescent="0.25">
      <c r="A443" s="30">
        <v>45419</v>
      </c>
      <c r="B443" s="26" t="s">
        <v>1098</v>
      </c>
      <c r="C443" s="26" t="s">
        <v>66</v>
      </c>
      <c r="D443" s="26" t="s">
        <v>406</v>
      </c>
      <c r="E443" s="26" t="s">
        <v>142</v>
      </c>
      <c r="F443" s="28">
        <v>676730724</v>
      </c>
      <c r="G443" s="26" t="s">
        <v>160</v>
      </c>
      <c r="H443" s="26" t="s">
        <v>567</v>
      </c>
      <c r="I443" s="26" t="s">
        <v>573</v>
      </c>
      <c r="J443" s="30">
        <v>45419</v>
      </c>
      <c r="K443" s="26" t="s">
        <v>546</v>
      </c>
      <c r="L443" s="26" t="s">
        <v>1100</v>
      </c>
      <c r="M443" s="30">
        <v>45419</v>
      </c>
      <c r="N443" s="26" t="s">
        <v>1100</v>
      </c>
      <c r="O443" s="26" t="s">
        <v>582</v>
      </c>
      <c r="P443" s="31">
        <v>15</v>
      </c>
      <c r="Q443" s="31">
        <v>10</v>
      </c>
      <c r="R443" s="26" t="s">
        <v>547</v>
      </c>
      <c r="S443" s="26"/>
      <c r="T443" s="31"/>
      <c r="U443" s="26"/>
      <c r="V443" s="26">
        <f t="shared" si="36"/>
        <v>1</v>
      </c>
      <c r="W443" s="26">
        <f t="shared" si="40"/>
        <v>1</v>
      </c>
      <c r="X443" s="26">
        <f>Data_Base[[#This Row],[B.N Total]]-Data_Base[[#This Row],[Nbre Brachements exécuté]]</f>
        <v>0</v>
      </c>
      <c r="Y443" s="26" t="str">
        <f t="shared" si="37"/>
        <v>mardi</v>
      </c>
      <c r="Z443" s="26" t="str">
        <f t="shared" si="38"/>
        <v>07</v>
      </c>
      <c r="AA443" s="26" t="str">
        <f t="shared" si="41"/>
        <v>05</v>
      </c>
      <c r="AB443" s="26" t="str">
        <f t="shared" si="39"/>
        <v>2024</v>
      </c>
    </row>
    <row r="444" spans="1:28" x14ac:dyDescent="0.25">
      <c r="A444" s="30">
        <v>45419</v>
      </c>
      <c r="B444" s="26" t="s">
        <v>1098</v>
      </c>
      <c r="C444" s="26" t="s">
        <v>66</v>
      </c>
      <c r="D444" s="26" t="s">
        <v>409</v>
      </c>
      <c r="E444" s="26" t="s">
        <v>142</v>
      </c>
      <c r="F444" s="28">
        <v>676730724</v>
      </c>
      <c r="G444" s="26" t="s">
        <v>160</v>
      </c>
      <c r="H444" s="26" t="s">
        <v>567</v>
      </c>
      <c r="I444" s="26" t="s">
        <v>573</v>
      </c>
      <c r="J444" s="30">
        <v>45419</v>
      </c>
      <c r="K444" s="26" t="s">
        <v>546</v>
      </c>
      <c r="L444" s="26" t="s">
        <v>1101</v>
      </c>
      <c r="M444" s="30">
        <v>45419</v>
      </c>
      <c r="N444" s="26" t="s">
        <v>1101</v>
      </c>
      <c r="O444" s="26" t="s">
        <v>582</v>
      </c>
      <c r="P444" s="31">
        <v>15</v>
      </c>
      <c r="Q444" s="31">
        <v>10</v>
      </c>
      <c r="R444" s="26" t="s">
        <v>547</v>
      </c>
      <c r="S444" s="26"/>
      <c r="T444" s="31"/>
      <c r="U444" s="26"/>
      <c r="V444" s="26">
        <f t="shared" si="36"/>
        <v>1</v>
      </c>
      <c r="W444" s="26">
        <f t="shared" si="40"/>
        <v>1</v>
      </c>
      <c r="X444" s="26">
        <f>Data_Base[[#This Row],[B.N Total]]-Data_Base[[#This Row],[Nbre Brachements exécuté]]</f>
        <v>0</v>
      </c>
      <c r="Y444" s="26" t="str">
        <f t="shared" si="37"/>
        <v>mardi</v>
      </c>
      <c r="Z444" s="26" t="str">
        <f t="shared" si="38"/>
        <v>07</v>
      </c>
      <c r="AA444" s="26" t="str">
        <f t="shared" si="41"/>
        <v>05</v>
      </c>
      <c r="AB444" s="26" t="str">
        <f t="shared" si="39"/>
        <v>2024</v>
      </c>
    </row>
    <row r="445" spans="1:28" x14ac:dyDescent="0.25">
      <c r="A445" s="30">
        <v>45419</v>
      </c>
      <c r="B445" s="26" t="s">
        <v>1098</v>
      </c>
      <c r="C445" s="26" t="s">
        <v>66</v>
      </c>
      <c r="D445" s="26" t="s">
        <v>408</v>
      </c>
      <c r="E445" s="26" t="s">
        <v>142</v>
      </c>
      <c r="F445" s="28">
        <v>676730724</v>
      </c>
      <c r="G445" s="26" t="s">
        <v>160</v>
      </c>
      <c r="H445" s="26" t="s">
        <v>567</v>
      </c>
      <c r="I445" s="26" t="s">
        <v>573</v>
      </c>
      <c r="J445" s="30">
        <v>45419</v>
      </c>
      <c r="K445" s="26" t="s">
        <v>546</v>
      </c>
      <c r="L445" s="26" t="s">
        <v>1102</v>
      </c>
      <c r="M445" s="30">
        <v>45419</v>
      </c>
      <c r="N445" s="26" t="s">
        <v>1102</v>
      </c>
      <c r="O445" s="26" t="s">
        <v>582</v>
      </c>
      <c r="P445" s="31">
        <v>15</v>
      </c>
      <c r="Q445" s="31">
        <v>10</v>
      </c>
      <c r="R445" s="26" t="s">
        <v>547</v>
      </c>
      <c r="S445" s="26"/>
      <c r="T445" s="31"/>
      <c r="U445" s="26"/>
      <c r="V445" s="26">
        <f t="shared" si="36"/>
        <v>1</v>
      </c>
      <c r="W445" s="26">
        <f t="shared" si="40"/>
        <v>1</v>
      </c>
      <c r="X445" s="26">
        <f>Data_Base[[#This Row],[B.N Total]]-Data_Base[[#This Row],[Nbre Brachements exécuté]]</f>
        <v>0</v>
      </c>
      <c r="Y445" s="26" t="str">
        <f t="shared" si="37"/>
        <v>mardi</v>
      </c>
      <c r="Z445" s="26" t="str">
        <f t="shared" si="38"/>
        <v>07</v>
      </c>
      <c r="AA445" s="26" t="str">
        <f t="shared" si="41"/>
        <v>05</v>
      </c>
      <c r="AB445" s="26" t="str">
        <f t="shared" si="39"/>
        <v>2024</v>
      </c>
    </row>
    <row r="446" spans="1:28" x14ac:dyDescent="0.25">
      <c r="A446" s="30">
        <v>45419</v>
      </c>
      <c r="B446" s="26" t="s">
        <v>1098</v>
      </c>
      <c r="C446" s="26" t="s">
        <v>66</v>
      </c>
      <c r="D446" s="26" t="s">
        <v>407</v>
      </c>
      <c r="E446" s="26" t="s">
        <v>142</v>
      </c>
      <c r="F446" s="28">
        <v>676730724</v>
      </c>
      <c r="G446" s="26" t="s">
        <v>160</v>
      </c>
      <c r="H446" s="26" t="s">
        <v>567</v>
      </c>
      <c r="I446" s="26" t="s">
        <v>573</v>
      </c>
      <c r="J446" s="30">
        <v>45419</v>
      </c>
      <c r="K446" s="26" t="s">
        <v>546</v>
      </c>
      <c r="L446" s="26" t="s">
        <v>1103</v>
      </c>
      <c r="M446" s="30">
        <v>45419</v>
      </c>
      <c r="N446" s="26" t="s">
        <v>1103</v>
      </c>
      <c r="O446" s="26" t="s">
        <v>582</v>
      </c>
      <c r="P446" s="31">
        <v>15</v>
      </c>
      <c r="Q446" s="31">
        <v>10</v>
      </c>
      <c r="R446" s="26" t="s">
        <v>547</v>
      </c>
      <c r="S446" s="26"/>
      <c r="T446" s="31"/>
      <c r="U446" s="26"/>
      <c r="V446" s="26">
        <f t="shared" si="36"/>
        <v>1</v>
      </c>
      <c r="W446" s="26">
        <f t="shared" si="40"/>
        <v>1</v>
      </c>
      <c r="X446" s="26">
        <f>Data_Base[[#This Row],[B.N Total]]-Data_Base[[#This Row],[Nbre Brachements exécuté]]</f>
        <v>0</v>
      </c>
      <c r="Y446" s="26" t="str">
        <f t="shared" si="37"/>
        <v>mardi</v>
      </c>
      <c r="Z446" s="26" t="str">
        <f t="shared" si="38"/>
        <v>07</v>
      </c>
      <c r="AA446" s="26" t="str">
        <f t="shared" si="41"/>
        <v>05</v>
      </c>
      <c r="AB446" s="26" t="str">
        <f t="shared" si="39"/>
        <v>2024</v>
      </c>
    </row>
    <row r="447" spans="1:28" x14ac:dyDescent="0.25">
      <c r="A447" s="30">
        <v>45419</v>
      </c>
      <c r="B447" s="26" t="s">
        <v>1104</v>
      </c>
      <c r="C447" s="26" t="s">
        <v>66</v>
      </c>
      <c r="D447" s="26" t="s">
        <v>404</v>
      </c>
      <c r="E447" s="26" t="s">
        <v>142</v>
      </c>
      <c r="F447" s="28">
        <v>699138866</v>
      </c>
      <c r="G447" s="26" t="s">
        <v>160</v>
      </c>
      <c r="H447" s="26" t="s">
        <v>567</v>
      </c>
      <c r="I447" s="26" t="s">
        <v>573</v>
      </c>
      <c r="J447" s="30">
        <v>45419</v>
      </c>
      <c r="K447" s="26" t="s">
        <v>546</v>
      </c>
      <c r="L447" s="26" t="s">
        <v>1105</v>
      </c>
      <c r="M447" s="30">
        <v>45419</v>
      </c>
      <c r="N447" s="26" t="s">
        <v>1105</v>
      </c>
      <c r="O447" s="26" t="s">
        <v>582</v>
      </c>
      <c r="P447" s="31">
        <v>15</v>
      </c>
      <c r="Q447" s="31">
        <v>10</v>
      </c>
      <c r="R447" s="26" t="s">
        <v>547</v>
      </c>
      <c r="S447" s="26"/>
      <c r="T447" s="31"/>
      <c r="U447" s="26"/>
      <c r="V447" s="26">
        <f t="shared" si="36"/>
        <v>1</v>
      </c>
      <c r="W447" s="26">
        <f t="shared" si="40"/>
        <v>1</v>
      </c>
      <c r="X447" s="26">
        <f>Data_Base[[#This Row],[B.N Total]]-Data_Base[[#This Row],[Nbre Brachements exécuté]]</f>
        <v>0</v>
      </c>
      <c r="Y447" s="26" t="str">
        <f t="shared" si="37"/>
        <v>mardi</v>
      </c>
      <c r="Z447" s="26" t="str">
        <f t="shared" si="38"/>
        <v>07</v>
      </c>
      <c r="AA447" s="26" t="str">
        <f t="shared" si="41"/>
        <v>05</v>
      </c>
      <c r="AB447" s="26" t="str">
        <f t="shared" si="39"/>
        <v>2024</v>
      </c>
    </row>
    <row r="448" spans="1:28" x14ac:dyDescent="0.25">
      <c r="A448" s="30">
        <v>45419</v>
      </c>
      <c r="B448" s="26" t="s">
        <v>1104</v>
      </c>
      <c r="C448" s="26" t="s">
        <v>66</v>
      </c>
      <c r="D448" s="26" t="s">
        <v>1106</v>
      </c>
      <c r="E448" s="26" t="s">
        <v>142</v>
      </c>
      <c r="F448" s="28">
        <v>699138866</v>
      </c>
      <c r="G448" s="26" t="s">
        <v>160</v>
      </c>
      <c r="H448" s="26" t="s">
        <v>567</v>
      </c>
      <c r="I448" s="26" t="s">
        <v>573</v>
      </c>
      <c r="J448" s="30">
        <v>45419</v>
      </c>
      <c r="K448" s="26" t="s">
        <v>546</v>
      </c>
      <c r="L448" s="26" t="s">
        <v>1107</v>
      </c>
      <c r="M448" s="30">
        <v>45419</v>
      </c>
      <c r="N448" s="26" t="s">
        <v>1107</v>
      </c>
      <c r="O448" s="26" t="s">
        <v>582</v>
      </c>
      <c r="P448" s="31">
        <v>15</v>
      </c>
      <c r="Q448" s="31">
        <v>10</v>
      </c>
      <c r="R448" s="26" t="s">
        <v>547</v>
      </c>
      <c r="S448" s="26"/>
      <c r="T448" s="31"/>
      <c r="U448" s="26"/>
      <c r="V448" s="26">
        <f t="shared" si="36"/>
        <v>1</v>
      </c>
      <c r="W448" s="26">
        <f t="shared" si="40"/>
        <v>1</v>
      </c>
      <c r="X448" s="26">
        <f>Data_Base[[#This Row],[B.N Total]]-Data_Base[[#This Row],[Nbre Brachements exécuté]]</f>
        <v>0</v>
      </c>
      <c r="Y448" s="26" t="str">
        <f t="shared" si="37"/>
        <v>mardi</v>
      </c>
      <c r="Z448" s="26" t="str">
        <f t="shared" si="38"/>
        <v>07</v>
      </c>
      <c r="AA448" s="26" t="str">
        <f t="shared" si="41"/>
        <v>05</v>
      </c>
      <c r="AB448" s="26" t="str">
        <f t="shared" si="39"/>
        <v>2024</v>
      </c>
    </row>
    <row r="449" spans="1:28" x14ac:dyDescent="0.25">
      <c r="A449" s="30">
        <v>45420</v>
      </c>
      <c r="B449" s="26" t="s">
        <v>1108</v>
      </c>
      <c r="C449" s="26" t="s">
        <v>2</v>
      </c>
      <c r="D449" s="26" t="s">
        <v>1109</v>
      </c>
      <c r="E449" s="26"/>
      <c r="F449" s="28">
        <v>679610641</v>
      </c>
      <c r="G449" s="26" t="s">
        <v>160</v>
      </c>
      <c r="H449" s="26" t="s">
        <v>161</v>
      </c>
      <c r="I449" s="26" t="s">
        <v>586</v>
      </c>
      <c r="J449" s="30">
        <v>45420</v>
      </c>
      <c r="K449" s="26"/>
      <c r="M449" s="30"/>
      <c r="O449" s="26"/>
      <c r="P449" s="31"/>
      <c r="Q449" s="31"/>
      <c r="R449" s="26"/>
      <c r="S449" s="26"/>
      <c r="T449" s="31"/>
      <c r="U449" s="26"/>
      <c r="V449" s="26">
        <f t="shared" si="36"/>
        <v>1</v>
      </c>
      <c r="W449" s="26">
        <f t="shared" si="40"/>
        <v>0</v>
      </c>
      <c r="X449" s="26">
        <f>Data_Base[[#This Row],[B.N Total]]-Data_Base[[#This Row],[Nbre Brachements exécuté]]</f>
        <v>1</v>
      </c>
      <c r="Y449" s="26" t="str">
        <f t="shared" si="37"/>
        <v>mercredi</v>
      </c>
      <c r="Z449" s="26" t="str">
        <f t="shared" si="38"/>
        <v>08</v>
      </c>
      <c r="AA449" s="26" t="str">
        <f t="shared" si="41"/>
        <v>05</v>
      </c>
      <c r="AB449" s="26" t="str">
        <f t="shared" si="39"/>
        <v>2024</v>
      </c>
    </row>
    <row r="450" spans="1:28" x14ac:dyDescent="0.25">
      <c r="A450" s="30">
        <v>45420</v>
      </c>
      <c r="B450" s="26" t="s">
        <v>1110</v>
      </c>
      <c r="C450" s="26" t="s">
        <v>2</v>
      </c>
      <c r="D450" s="26" t="s">
        <v>1111</v>
      </c>
      <c r="E450" s="26" t="s">
        <v>142</v>
      </c>
      <c r="F450" s="28">
        <v>694163034</v>
      </c>
      <c r="G450" s="26" t="s">
        <v>160</v>
      </c>
      <c r="H450" s="26" t="s">
        <v>325</v>
      </c>
      <c r="I450" s="26" t="s">
        <v>579</v>
      </c>
      <c r="J450" s="30">
        <v>45420</v>
      </c>
      <c r="K450" s="26" t="s">
        <v>546</v>
      </c>
      <c r="L450" s="26" t="s">
        <v>1112</v>
      </c>
      <c r="M450" s="30">
        <v>45420</v>
      </c>
      <c r="N450" s="26" t="s">
        <v>1112</v>
      </c>
      <c r="O450" s="26" t="s">
        <v>582</v>
      </c>
      <c r="P450" s="31">
        <v>30</v>
      </c>
      <c r="Q450" s="31">
        <v>10</v>
      </c>
      <c r="R450" s="26" t="s">
        <v>547</v>
      </c>
      <c r="S450" s="26"/>
      <c r="T450" s="31"/>
      <c r="U450" s="26"/>
      <c r="V450" s="26">
        <f t="shared" ref="V450:V513" si="42">COUNTA(B450)</f>
        <v>1</v>
      </c>
      <c r="W450" s="26">
        <f t="shared" si="40"/>
        <v>1</v>
      </c>
      <c r="X450" s="26">
        <f>Data_Base[[#This Row],[B.N Total]]-Data_Base[[#This Row],[Nbre Brachements exécuté]]</f>
        <v>0</v>
      </c>
      <c r="Y450" s="26" t="str">
        <f t="shared" ref="Y450:Y513" si="43">IF(A450=""," ",TEXT(A450,"jjjj"))</f>
        <v>mercredi</v>
      </c>
      <c r="Z450" s="26" t="str">
        <f t="shared" ref="Z450:Z513" si="44">IF(A450="","",TEXT(A450,"jj"))</f>
        <v>08</v>
      </c>
      <c r="AA450" s="26" t="str">
        <f t="shared" si="41"/>
        <v>05</v>
      </c>
      <c r="AB450" s="26" t="str">
        <f t="shared" ref="AB450:AB513" si="45">IF(A450=""," ",TEXT(A450,"aaaa"))</f>
        <v>2024</v>
      </c>
    </row>
    <row r="451" spans="1:28" x14ac:dyDescent="0.25">
      <c r="A451" s="30">
        <v>45420</v>
      </c>
      <c r="B451" s="26" t="s">
        <v>253</v>
      </c>
      <c r="C451" s="26" t="s">
        <v>2</v>
      </c>
      <c r="D451" s="26" t="s">
        <v>259</v>
      </c>
      <c r="E451" s="26" t="s">
        <v>142</v>
      </c>
      <c r="F451" s="28" t="s">
        <v>566</v>
      </c>
      <c r="G451" s="26" t="s">
        <v>160</v>
      </c>
      <c r="H451" s="26" t="s">
        <v>567</v>
      </c>
      <c r="I451" s="26" t="s">
        <v>573</v>
      </c>
      <c r="J451" s="30">
        <v>45420</v>
      </c>
      <c r="K451" s="26" t="s">
        <v>546</v>
      </c>
      <c r="L451" s="26" t="s">
        <v>1113</v>
      </c>
      <c r="M451" s="30">
        <v>45420</v>
      </c>
      <c r="N451" s="26" t="s">
        <v>1114</v>
      </c>
      <c r="O451" s="26" t="s">
        <v>582</v>
      </c>
      <c r="P451" s="31">
        <v>15</v>
      </c>
      <c r="Q451" s="31">
        <v>10</v>
      </c>
      <c r="R451" s="26" t="s">
        <v>547</v>
      </c>
      <c r="S451" s="26"/>
      <c r="T451" s="31"/>
      <c r="U451" s="26"/>
      <c r="V451" s="26">
        <f t="shared" si="42"/>
        <v>1</v>
      </c>
      <c r="W451" s="26">
        <f t="shared" ref="W451:W458" si="46">COUNTA(N451)</f>
        <v>1</v>
      </c>
      <c r="X451" s="26">
        <f>Data_Base[[#This Row],[B.N Total]]-Data_Base[[#This Row],[Nbre Brachements exécuté]]</f>
        <v>0</v>
      </c>
      <c r="Y451" s="26" t="str">
        <f t="shared" si="43"/>
        <v>mercredi</v>
      </c>
      <c r="Z451" s="26" t="str">
        <f t="shared" si="44"/>
        <v>08</v>
      </c>
      <c r="AA451" s="26" t="str">
        <f t="shared" ref="AA451:AA514" si="47">IF(A451=""," ",TEXT(A451,"mm"))</f>
        <v>05</v>
      </c>
      <c r="AB451" s="26" t="str">
        <f t="shared" si="45"/>
        <v>2024</v>
      </c>
    </row>
    <row r="452" spans="1:28" x14ac:dyDescent="0.25">
      <c r="A452" s="30">
        <v>45420</v>
      </c>
      <c r="B452" s="26" t="s">
        <v>253</v>
      </c>
      <c r="C452" s="26" t="s">
        <v>2</v>
      </c>
      <c r="D452" s="26" t="s">
        <v>254</v>
      </c>
      <c r="E452" s="26" t="s">
        <v>142</v>
      </c>
      <c r="F452" s="28" t="s">
        <v>566</v>
      </c>
      <c r="G452" s="26" t="s">
        <v>160</v>
      </c>
      <c r="H452" s="26" t="s">
        <v>567</v>
      </c>
      <c r="I452" s="26" t="s">
        <v>573</v>
      </c>
      <c r="J452" s="30">
        <v>45420</v>
      </c>
      <c r="K452" s="26" t="s">
        <v>546</v>
      </c>
      <c r="L452" s="26" t="s">
        <v>1115</v>
      </c>
      <c r="M452" s="30">
        <v>45420</v>
      </c>
      <c r="N452" s="26" t="s">
        <v>581</v>
      </c>
      <c r="O452" s="26" t="s">
        <v>582</v>
      </c>
      <c r="P452" s="31">
        <v>15</v>
      </c>
      <c r="Q452" s="31">
        <v>10</v>
      </c>
      <c r="R452" s="26" t="s">
        <v>547</v>
      </c>
      <c r="S452" s="26"/>
      <c r="T452" s="31"/>
      <c r="U452" s="26"/>
      <c r="V452" s="26">
        <f t="shared" si="42"/>
        <v>1</v>
      </c>
      <c r="W452" s="26">
        <f t="shared" si="46"/>
        <v>1</v>
      </c>
      <c r="X452" s="26">
        <f>Data_Base[[#This Row],[B.N Total]]-Data_Base[[#This Row],[Nbre Brachements exécuté]]</f>
        <v>0</v>
      </c>
      <c r="Y452" s="26" t="str">
        <f t="shared" si="43"/>
        <v>mercredi</v>
      </c>
      <c r="Z452" s="26" t="str">
        <f t="shared" si="44"/>
        <v>08</v>
      </c>
      <c r="AA452" s="26" t="str">
        <f t="shared" si="47"/>
        <v>05</v>
      </c>
      <c r="AB452" s="26" t="str">
        <f t="shared" si="45"/>
        <v>2024</v>
      </c>
    </row>
    <row r="453" spans="1:28" x14ac:dyDescent="0.25">
      <c r="A453" s="30">
        <v>45419</v>
      </c>
      <c r="B453" s="26" t="s">
        <v>1116</v>
      </c>
      <c r="C453" s="26" t="s">
        <v>3</v>
      </c>
      <c r="D453" s="26" t="s">
        <v>1117</v>
      </c>
      <c r="E453" s="26" t="s">
        <v>142</v>
      </c>
      <c r="F453" s="28">
        <v>655514555</v>
      </c>
      <c r="G453" s="26" t="s">
        <v>160</v>
      </c>
      <c r="H453" s="26" t="s">
        <v>344</v>
      </c>
      <c r="I453" s="26" t="s">
        <v>556</v>
      </c>
      <c r="J453" s="30">
        <v>45419</v>
      </c>
      <c r="K453" s="26" t="s">
        <v>546</v>
      </c>
      <c r="L453" s="26" t="s">
        <v>1118</v>
      </c>
      <c r="M453" s="30">
        <v>45419</v>
      </c>
      <c r="N453" s="26" t="s">
        <v>1118</v>
      </c>
      <c r="O453" s="26" t="s">
        <v>559</v>
      </c>
      <c r="P453" s="31">
        <v>30</v>
      </c>
      <c r="Q453" s="31">
        <v>10</v>
      </c>
      <c r="R453" s="26" t="s">
        <v>547</v>
      </c>
      <c r="S453" s="26"/>
      <c r="T453" s="31"/>
      <c r="U453" s="26"/>
      <c r="V453" s="26">
        <f t="shared" si="42"/>
        <v>1</v>
      </c>
      <c r="W453" s="26">
        <f t="shared" si="46"/>
        <v>1</v>
      </c>
      <c r="X453" s="26">
        <f>Data_Base[[#This Row],[B.N Total]]-Data_Base[[#This Row],[Nbre Brachements exécuté]]</f>
        <v>0</v>
      </c>
      <c r="Y453" s="26" t="str">
        <f t="shared" si="43"/>
        <v>mardi</v>
      </c>
      <c r="Z453" s="26" t="str">
        <f t="shared" si="44"/>
        <v>07</v>
      </c>
      <c r="AA453" s="26" t="str">
        <f t="shared" si="47"/>
        <v>05</v>
      </c>
      <c r="AB453" s="26" t="str">
        <f t="shared" si="45"/>
        <v>2024</v>
      </c>
    </row>
    <row r="454" spans="1:28" x14ac:dyDescent="0.25">
      <c r="A454" s="30">
        <v>45419</v>
      </c>
      <c r="B454" s="26" t="s">
        <v>1116</v>
      </c>
      <c r="C454" s="26" t="s">
        <v>3</v>
      </c>
      <c r="D454" s="26" t="s">
        <v>1119</v>
      </c>
      <c r="E454" s="26" t="s">
        <v>142</v>
      </c>
      <c r="F454" s="28">
        <v>655514555</v>
      </c>
      <c r="G454" s="26" t="s">
        <v>160</v>
      </c>
      <c r="H454" s="26" t="s">
        <v>344</v>
      </c>
      <c r="I454" s="26" t="s">
        <v>556</v>
      </c>
      <c r="J454" s="30">
        <v>45419</v>
      </c>
      <c r="K454" s="26" t="s">
        <v>546</v>
      </c>
      <c r="L454" s="26" t="s">
        <v>1120</v>
      </c>
      <c r="M454" s="30">
        <v>45419</v>
      </c>
      <c r="N454" s="26" t="s">
        <v>1120</v>
      </c>
      <c r="O454" s="26" t="s">
        <v>559</v>
      </c>
      <c r="P454" s="31">
        <v>30</v>
      </c>
      <c r="Q454" s="31">
        <v>10</v>
      </c>
      <c r="R454" s="26" t="s">
        <v>547</v>
      </c>
      <c r="S454" s="26"/>
      <c r="T454" s="31"/>
      <c r="U454" s="26"/>
      <c r="V454" s="26">
        <f t="shared" si="42"/>
        <v>1</v>
      </c>
      <c r="W454" s="26">
        <f t="shared" si="46"/>
        <v>1</v>
      </c>
      <c r="X454" s="26">
        <f>Data_Base[[#This Row],[B.N Total]]-Data_Base[[#This Row],[Nbre Brachements exécuté]]</f>
        <v>0</v>
      </c>
      <c r="Y454" s="26" t="str">
        <f t="shared" si="43"/>
        <v>mardi</v>
      </c>
      <c r="Z454" s="26" t="str">
        <f t="shared" si="44"/>
        <v>07</v>
      </c>
      <c r="AA454" s="26" t="str">
        <f t="shared" si="47"/>
        <v>05</v>
      </c>
      <c r="AB454" s="26" t="str">
        <f t="shared" si="45"/>
        <v>2024</v>
      </c>
    </row>
    <row r="455" spans="1:28" x14ac:dyDescent="0.25">
      <c r="A455" s="30">
        <v>45419</v>
      </c>
      <c r="B455" s="26" t="s">
        <v>1116</v>
      </c>
      <c r="C455" s="26" t="s">
        <v>3</v>
      </c>
      <c r="D455" s="26" t="s">
        <v>1121</v>
      </c>
      <c r="E455" s="26" t="s">
        <v>142</v>
      </c>
      <c r="F455" s="28">
        <v>655514555</v>
      </c>
      <c r="G455" s="26" t="s">
        <v>160</v>
      </c>
      <c r="H455" s="26" t="s">
        <v>344</v>
      </c>
      <c r="I455" s="26" t="s">
        <v>556</v>
      </c>
      <c r="J455" s="30">
        <v>45419</v>
      </c>
      <c r="K455" s="26" t="s">
        <v>546</v>
      </c>
      <c r="L455" s="26" t="s">
        <v>1122</v>
      </c>
      <c r="M455" s="30">
        <v>45419</v>
      </c>
      <c r="N455" s="26" t="s">
        <v>1122</v>
      </c>
      <c r="O455" s="26" t="s">
        <v>559</v>
      </c>
      <c r="P455" s="31">
        <v>30</v>
      </c>
      <c r="Q455" s="31">
        <v>10</v>
      </c>
      <c r="R455" s="26" t="s">
        <v>547</v>
      </c>
      <c r="S455" s="26"/>
      <c r="T455" s="31"/>
      <c r="U455" s="26"/>
      <c r="V455" s="26">
        <f t="shared" si="42"/>
        <v>1</v>
      </c>
      <c r="W455" s="26">
        <f t="shared" si="46"/>
        <v>1</v>
      </c>
      <c r="X455" s="26">
        <f>Data_Base[[#This Row],[B.N Total]]-Data_Base[[#This Row],[Nbre Brachements exécuté]]</f>
        <v>0</v>
      </c>
      <c r="Y455" s="26" t="str">
        <f t="shared" si="43"/>
        <v>mardi</v>
      </c>
      <c r="Z455" s="26" t="str">
        <f t="shared" si="44"/>
        <v>07</v>
      </c>
      <c r="AA455" s="26" t="str">
        <f t="shared" si="47"/>
        <v>05</v>
      </c>
      <c r="AB455" s="26" t="str">
        <f t="shared" si="45"/>
        <v>2024</v>
      </c>
    </row>
    <row r="456" spans="1:28" x14ac:dyDescent="0.25">
      <c r="A456" s="30">
        <v>45419</v>
      </c>
      <c r="B456" s="26" t="s">
        <v>1116</v>
      </c>
      <c r="C456" s="26" t="s">
        <v>3</v>
      </c>
      <c r="D456" s="26" t="s">
        <v>1123</v>
      </c>
      <c r="E456" s="26" t="s">
        <v>142</v>
      </c>
      <c r="F456" s="28">
        <v>655514555</v>
      </c>
      <c r="G456" s="26" t="s">
        <v>160</v>
      </c>
      <c r="H456" s="26" t="s">
        <v>344</v>
      </c>
      <c r="I456" s="26" t="s">
        <v>556</v>
      </c>
      <c r="J456" s="30">
        <v>45419</v>
      </c>
      <c r="K456" s="26" t="s">
        <v>546</v>
      </c>
      <c r="L456" s="26" t="s">
        <v>1124</v>
      </c>
      <c r="M456" s="30">
        <v>45419</v>
      </c>
      <c r="N456" s="26" t="s">
        <v>1124</v>
      </c>
      <c r="O456" s="26" t="s">
        <v>559</v>
      </c>
      <c r="P456" s="31">
        <v>30</v>
      </c>
      <c r="Q456" s="31">
        <v>10</v>
      </c>
      <c r="R456" s="26" t="s">
        <v>547</v>
      </c>
      <c r="S456" s="26"/>
      <c r="T456" s="31"/>
      <c r="U456" s="26"/>
      <c r="V456" s="26">
        <f t="shared" si="42"/>
        <v>1</v>
      </c>
      <c r="W456" s="26">
        <f t="shared" si="46"/>
        <v>1</v>
      </c>
      <c r="X456" s="26">
        <f>Data_Base[[#This Row],[B.N Total]]-Data_Base[[#This Row],[Nbre Brachements exécuté]]</f>
        <v>0</v>
      </c>
      <c r="Y456" s="26" t="str">
        <f t="shared" si="43"/>
        <v>mardi</v>
      </c>
      <c r="Z456" s="26" t="str">
        <f t="shared" si="44"/>
        <v>07</v>
      </c>
      <c r="AA456" s="26" t="str">
        <f t="shared" si="47"/>
        <v>05</v>
      </c>
      <c r="AB456" s="26" t="str">
        <f t="shared" si="45"/>
        <v>2024</v>
      </c>
    </row>
    <row r="457" spans="1:28" x14ac:dyDescent="0.25">
      <c r="A457" s="30">
        <v>45419</v>
      </c>
      <c r="B457" s="26" t="s">
        <v>1116</v>
      </c>
      <c r="C457" s="26" t="s">
        <v>3</v>
      </c>
      <c r="D457" s="26" t="s">
        <v>1125</v>
      </c>
      <c r="E457" s="26" t="s">
        <v>142</v>
      </c>
      <c r="F457" s="28">
        <v>655514555</v>
      </c>
      <c r="G457" s="26" t="s">
        <v>160</v>
      </c>
      <c r="H457" s="26" t="s">
        <v>344</v>
      </c>
      <c r="I457" s="26" t="s">
        <v>556</v>
      </c>
      <c r="J457" s="30">
        <v>45419</v>
      </c>
      <c r="K457" s="26" t="s">
        <v>546</v>
      </c>
      <c r="L457" s="26" t="s">
        <v>1126</v>
      </c>
      <c r="M457" s="30">
        <v>45419</v>
      </c>
      <c r="N457" s="26" t="s">
        <v>1126</v>
      </c>
      <c r="O457" s="26" t="s">
        <v>559</v>
      </c>
      <c r="P457" s="31">
        <v>30</v>
      </c>
      <c r="Q457" s="31">
        <v>10</v>
      </c>
      <c r="R457" s="26" t="s">
        <v>547</v>
      </c>
      <c r="S457" s="26"/>
      <c r="T457" s="31"/>
      <c r="U457" s="26"/>
      <c r="V457" s="26">
        <f t="shared" si="42"/>
        <v>1</v>
      </c>
      <c r="W457" s="26">
        <f t="shared" si="46"/>
        <v>1</v>
      </c>
      <c r="X457" s="26">
        <f>Data_Base[[#This Row],[B.N Total]]-Data_Base[[#This Row],[Nbre Brachements exécuté]]</f>
        <v>0</v>
      </c>
      <c r="Y457" s="26" t="str">
        <f t="shared" si="43"/>
        <v>mardi</v>
      </c>
      <c r="Z457" s="26" t="str">
        <f t="shared" si="44"/>
        <v>07</v>
      </c>
      <c r="AA457" s="26" t="str">
        <f t="shared" si="47"/>
        <v>05</v>
      </c>
      <c r="AB457" s="26" t="str">
        <f t="shared" si="45"/>
        <v>2024</v>
      </c>
    </row>
    <row r="458" spans="1:28" x14ac:dyDescent="0.25">
      <c r="A458" s="30">
        <v>45422</v>
      </c>
      <c r="B458" s="26" t="s">
        <v>1163</v>
      </c>
      <c r="C458" s="26" t="s">
        <v>2</v>
      </c>
      <c r="D458" s="26" t="s">
        <v>1164</v>
      </c>
      <c r="E458" s="26" t="s">
        <v>142</v>
      </c>
      <c r="F458" s="28">
        <v>696473079</v>
      </c>
      <c r="G458" s="26" t="s">
        <v>160</v>
      </c>
      <c r="H458" s="26" t="s">
        <v>567</v>
      </c>
      <c r="I458" s="26" t="s">
        <v>573</v>
      </c>
      <c r="J458" s="30">
        <v>45419</v>
      </c>
      <c r="K458" s="26"/>
      <c r="M458" s="30"/>
      <c r="O458" s="26"/>
      <c r="P458" s="31"/>
      <c r="Q458" s="31"/>
      <c r="R458" s="26"/>
      <c r="S458" s="26"/>
      <c r="T458" s="31"/>
      <c r="U458" s="26"/>
      <c r="V458" s="26">
        <f t="shared" si="42"/>
        <v>1</v>
      </c>
      <c r="W458" s="26">
        <f t="shared" si="46"/>
        <v>0</v>
      </c>
      <c r="X458" s="26">
        <f>Data_Base[[#This Row],[B.N Total]]-Data_Base[[#This Row],[Nbre Brachements exécuté]]</f>
        <v>1</v>
      </c>
      <c r="Y458" s="26" t="str">
        <f t="shared" si="43"/>
        <v>vendredi</v>
      </c>
      <c r="Z458" s="26" t="str">
        <f t="shared" si="44"/>
        <v>10</v>
      </c>
      <c r="AA458" s="26" t="str">
        <f t="shared" si="47"/>
        <v>05</v>
      </c>
      <c r="AB458" s="26" t="str">
        <f t="shared" si="45"/>
        <v>2024</v>
      </c>
    </row>
    <row r="459" spans="1:28" x14ac:dyDescent="0.25">
      <c r="A459" s="30">
        <v>45422</v>
      </c>
      <c r="B459" s="26" t="s">
        <v>1165</v>
      </c>
      <c r="C459" s="26" t="s">
        <v>66</v>
      </c>
      <c r="D459" s="26" t="s">
        <v>1166</v>
      </c>
      <c r="E459" s="26" t="s">
        <v>142</v>
      </c>
      <c r="F459" s="28">
        <v>653643004</v>
      </c>
      <c r="G459" s="26" t="s">
        <v>160</v>
      </c>
      <c r="H459" s="26" t="s">
        <v>325</v>
      </c>
      <c r="I459" s="26" t="s">
        <v>579</v>
      </c>
      <c r="J459" s="30">
        <v>45419</v>
      </c>
      <c r="K459" s="26" t="s">
        <v>546</v>
      </c>
      <c r="L459" s="26" t="s">
        <v>1167</v>
      </c>
      <c r="M459" s="30">
        <v>45422</v>
      </c>
      <c r="N459" s="26">
        <v>263008449773</v>
      </c>
      <c r="O459" s="26" t="s">
        <v>582</v>
      </c>
      <c r="P459" s="31" t="s">
        <v>1168</v>
      </c>
      <c r="Q459" s="31" t="s">
        <v>1169</v>
      </c>
      <c r="R459" s="26" t="s">
        <v>547</v>
      </c>
      <c r="S459" s="26"/>
      <c r="T459" s="31"/>
      <c r="U459" s="26"/>
      <c r="V459" s="26">
        <f t="shared" si="42"/>
        <v>1</v>
      </c>
      <c r="W459" s="26">
        <f t="shared" ref="W459:W490" si="48">COUNTA(N459)</f>
        <v>1</v>
      </c>
      <c r="X459" s="26">
        <f>Data_Base[[#This Row],[B.N Total]]-Data_Base[[#This Row],[Nbre Brachements exécuté]]</f>
        <v>0</v>
      </c>
      <c r="Y459" s="26" t="str">
        <f t="shared" si="43"/>
        <v>vendredi</v>
      </c>
      <c r="Z459" s="26" t="str">
        <f t="shared" si="44"/>
        <v>10</v>
      </c>
      <c r="AA459" s="26" t="str">
        <f t="shared" si="47"/>
        <v>05</v>
      </c>
      <c r="AB459" s="26" t="str">
        <f t="shared" si="45"/>
        <v>2024</v>
      </c>
    </row>
    <row r="460" spans="1:28" x14ac:dyDescent="0.25">
      <c r="A460" s="30">
        <v>45422</v>
      </c>
      <c r="B460" s="26" t="s">
        <v>1170</v>
      </c>
      <c r="C460" s="26" t="s">
        <v>66</v>
      </c>
      <c r="D460" s="26" t="s">
        <v>1171</v>
      </c>
      <c r="E460" s="26" t="s">
        <v>699</v>
      </c>
      <c r="F460" s="28">
        <v>691838512</v>
      </c>
      <c r="G460" s="26" t="s">
        <v>160</v>
      </c>
      <c r="H460" s="26" t="s">
        <v>325</v>
      </c>
      <c r="I460" s="26" t="s">
        <v>579</v>
      </c>
      <c r="J460" s="30">
        <v>45422</v>
      </c>
      <c r="K460" s="26" t="s">
        <v>546</v>
      </c>
      <c r="L460" s="26" t="s">
        <v>1172</v>
      </c>
      <c r="M460" s="30">
        <v>45422</v>
      </c>
      <c r="N460" s="26" t="s">
        <v>1172</v>
      </c>
      <c r="O460" s="26" t="s">
        <v>389</v>
      </c>
      <c r="P460" s="31" t="s">
        <v>1169</v>
      </c>
      <c r="Q460" s="31" t="s">
        <v>1173</v>
      </c>
      <c r="R460" s="26" t="s">
        <v>547</v>
      </c>
      <c r="S460" s="26"/>
      <c r="T460" s="31"/>
      <c r="U460" s="26"/>
      <c r="V460" s="26">
        <f t="shared" si="42"/>
        <v>1</v>
      </c>
      <c r="W460" s="26">
        <f t="shared" si="48"/>
        <v>1</v>
      </c>
      <c r="X460" s="26">
        <f>Data_Base[[#This Row],[B.N Total]]-Data_Base[[#This Row],[Nbre Brachements exécuté]]</f>
        <v>0</v>
      </c>
      <c r="Y460" s="26" t="str">
        <f t="shared" si="43"/>
        <v>vendredi</v>
      </c>
      <c r="Z460" s="26" t="str">
        <f t="shared" si="44"/>
        <v>10</v>
      </c>
      <c r="AA460" s="26" t="str">
        <f t="shared" si="47"/>
        <v>05</v>
      </c>
      <c r="AB460" s="26" t="str">
        <f t="shared" si="45"/>
        <v>2024</v>
      </c>
    </row>
    <row r="461" spans="1:28" x14ac:dyDescent="0.25">
      <c r="A461" s="30">
        <v>45422</v>
      </c>
      <c r="B461" s="26" t="s">
        <v>1174</v>
      </c>
      <c r="C461" s="26" t="s">
        <v>3</v>
      </c>
      <c r="D461" s="26" t="s">
        <v>1083</v>
      </c>
      <c r="E461" s="26"/>
      <c r="F461" s="28">
        <v>697168684</v>
      </c>
      <c r="G461" s="26" t="s">
        <v>160</v>
      </c>
      <c r="H461" s="26" t="s">
        <v>325</v>
      </c>
      <c r="I461" s="26" t="s">
        <v>579</v>
      </c>
      <c r="J461" s="30">
        <v>45419</v>
      </c>
      <c r="K461" s="26"/>
      <c r="M461" s="30"/>
      <c r="O461" s="26"/>
      <c r="P461" s="31"/>
      <c r="Q461" s="31"/>
      <c r="R461" s="26"/>
      <c r="S461" s="26"/>
      <c r="T461" s="31"/>
      <c r="U461" s="26"/>
      <c r="V461" s="26">
        <f t="shared" si="42"/>
        <v>1</v>
      </c>
      <c r="W461" s="26">
        <f t="shared" si="48"/>
        <v>0</v>
      </c>
      <c r="X461" s="26">
        <f>Data_Base[[#This Row],[B.N Total]]-Data_Base[[#This Row],[Nbre Brachements exécuté]]</f>
        <v>1</v>
      </c>
      <c r="Y461" s="26" t="str">
        <f t="shared" si="43"/>
        <v>vendredi</v>
      </c>
      <c r="Z461" s="26" t="str">
        <f t="shared" si="44"/>
        <v>10</v>
      </c>
      <c r="AA461" s="26" t="str">
        <f t="shared" si="47"/>
        <v>05</v>
      </c>
      <c r="AB461" s="26" t="str">
        <f t="shared" si="45"/>
        <v>2024</v>
      </c>
    </row>
    <row r="462" spans="1:28" x14ac:dyDescent="0.25">
      <c r="A462" s="30">
        <v>45422</v>
      </c>
      <c r="B462" s="26" t="s">
        <v>1175</v>
      </c>
      <c r="C462" s="26" t="s">
        <v>2</v>
      </c>
      <c r="D462" s="26" t="s">
        <v>1176</v>
      </c>
      <c r="E462" s="26"/>
      <c r="F462" s="28">
        <v>693151616</v>
      </c>
      <c r="G462" s="26" t="s">
        <v>160</v>
      </c>
      <c r="H462" s="26" t="s">
        <v>325</v>
      </c>
      <c r="I462" s="26" t="s">
        <v>579</v>
      </c>
      <c r="J462" s="30">
        <v>45419</v>
      </c>
      <c r="K462" s="26"/>
      <c r="M462" s="30"/>
      <c r="O462" s="26"/>
      <c r="P462" s="31"/>
      <c r="Q462" s="31"/>
      <c r="R462" s="26"/>
      <c r="S462" s="26"/>
      <c r="T462" s="31"/>
      <c r="U462" s="26"/>
      <c r="V462" s="26">
        <f t="shared" si="42"/>
        <v>1</v>
      </c>
      <c r="W462" s="26">
        <f t="shared" si="48"/>
        <v>0</v>
      </c>
      <c r="X462" s="26">
        <f>Data_Base[[#This Row],[B.N Total]]-Data_Base[[#This Row],[Nbre Brachements exécuté]]</f>
        <v>1</v>
      </c>
      <c r="Y462" s="26" t="str">
        <f t="shared" si="43"/>
        <v>vendredi</v>
      </c>
      <c r="Z462" s="26" t="str">
        <f t="shared" si="44"/>
        <v>10</v>
      </c>
      <c r="AA462" s="26" t="str">
        <f t="shared" si="47"/>
        <v>05</v>
      </c>
      <c r="AB462" s="26" t="str">
        <f t="shared" si="45"/>
        <v>2024</v>
      </c>
    </row>
    <row r="463" spans="1:28" x14ac:dyDescent="0.25">
      <c r="A463" s="30">
        <v>45422</v>
      </c>
      <c r="B463" s="26" t="s">
        <v>1177</v>
      </c>
      <c r="C463" s="26" t="s">
        <v>3</v>
      </c>
      <c r="D463" s="26" t="s">
        <v>1178</v>
      </c>
      <c r="E463" s="26"/>
      <c r="F463" s="28">
        <v>650519988</v>
      </c>
      <c r="G463" s="26"/>
      <c r="H463" s="26"/>
      <c r="I463" s="26"/>
      <c r="J463" s="30"/>
      <c r="K463" s="26"/>
      <c r="M463" s="30"/>
      <c r="O463" s="26"/>
      <c r="P463" s="31"/>
      <c r="Q463" s="31"/>
      <c r="R463" s="26"/>
      <c r="S463" s="26"/>
      <c r="T463" s="31"/>
      <c r="U463" s="26"/>
      <c r="V463" s="26">
        <f t="shared" si="42"/>
        <v>1</v>
      </c>
      <c r="W463" s="26">
        <f t="shared" si="48"/>
        <v>0</v>
      </c>
      <c r="X463" s="26">
        <f>Data_Base[[#This Row],[B.N Total]]-Data_Base[[#This Row],[Nbre Brachements exécuté]]</f>
        <v>1</v>
      </c>
      <c r="Y463" s="26" t="str">
        <f t="shared" si="43"/>
        <v>vendredi</v>
      </c>
      <c r="Z463" s="26" t="str">
        <f t="shared" si="44"/>
        <v>10</v>
      </c>
      <c r="AA463" s="26" t="str">
        <f t="shared" si="47"/>
        <v>05</v>
      </c>
      <c r="AB463" s="26" t="str">
        <f t="shared" si="45"/>
        <v>2024</v>
      </c>
    </row>
    <row r="464" spans="1:28" x14ac:dyDescent="0.25">
      <c r="A464" s="30">
        <v>45422</v>
      </c>
      <c r="B464" s="26" t="s">
        <v>1179</v>
      </c>
      <c r="C464" s="26" t="s">
        <v>3</v>
      </c>
      <c r="D464" s="26" t="s">
        <v>1180</v>
      </c>
      <c r="E464" s="26"/>
      <c r="F464" s="28">
        <v>694309615</v>
      </c>
      <c r="G464" s="26"/>
      <c r="H464" s="26"/>
      <c r="I464" s="26"/>
      <c r="J464" s="30"/>
      <c r="K464" s="26"/>
      <c r="M464" s="30"/>
      <c r="O464" s="26"/>
      <c r="P464" s="31"/>
      <c r="Q464" s="31"/>
      <c r="R464" s="26"/>
      <c r="S464" s="26"/>
      <c r="T464" s="31"/>
      <c r="U464" s="26"/>
      <c r="V464" s="26">
        <f t="shared" si="42"/>
        <v>1</v>
      </c>
      <c r="W464" s="26">
        <f t="shared" si="48"/>
        <v>0</v>
      </c>
      <c r="X464" s="26">
        <f>Data_Base[[#This Row],[B.N Total]]-Data_Base[[#This Row],[Nbre Brachements exécuté]]</f>
        <v>1</v>
      </c>
      <c r="Y464" s="26" t="str">
        <f t="shared" si="43"/>
        <v>vendredi</v>
      </c>
      <c r="Z464" s="26" t="str">
        <f t="shared" si="44"/>
        <v>10</v>
      </c>
      <c r="AA464" s="26" t="str">
        <f t="shared" si="47"/>
        <v>05</v>
      </c>
      <c r="AB464" s="26" t="str">
        <f t="shared" si="45"/>
        <v>2024</v>
      </c>
    </row>
    <row r="465" spans="1:28" x14ac:dyDescent="0.25">
      <c r="A465" s="30">
        <v>45422</v>
      </c>
      <c r="B465" s="26" t="s">
        <v>1181</v>
      </c>
      <c r="C465" s="26" t="s">
        <v>3</v>
      </c>
      <c r="D465" s="26" t="s">
        <v>1182</v>
      </c>
      <c r="E465" s="26"/>
      <c r="F465" s="28">
        <v>696235781</v>
      </c>
      <c r="G465" s="26"/>
      <c r="H465" s="26"/>
      <c r="I465" s="26"/>
      <c r="J465" s="30"/>
      <c r="K465" s="26"/>
      <c r="M465" s="30"/>
      <c r="O465" s="26"/>
      <c r="P465" s="31"/>
      <c r="Q465" s="31"/>
      <c r="R465" s="26"/>
      <c r="S465" s="26"/>
      <c r="T465" s="31"/>
      <c r="U465" s="26"/>
      <c r="V465" s="26">
        <f t="shared" si="42"/>
        <v>1</v>
      </c>
      <c r="W465" s="26">
        <f t="shared" si="48"/>
        <v>0</v>
      </c>
      <c r="X465" s="26">
        <f>Data_Base[[#This Row],[B.N Total]]-Data_Base[[#This Row],[Nbre Brachements exécuté]]</f>
        <v>1</v>
      </c>
      <c r="Y465" s="26" t="str">
        <f t="shared" si="43"/>
        <v>vendredi</v>
      </c>
      <c r="Z465" s="26" t="str">
        <f t="shared" si="44"/>
        <v>10</v>
      </c>
      <c r="AA465" s="26" t="str">
        <f t="shared" si="47"/>
        <v>05</v>
      </c>
      <c r="AB465" s="26" t="str">
        <f t="shared" si="45"/>
        <v>2024</v>
      </c>
    </row>
    <row r="466" spans="1:28" x14ac:dyDescent="0.25">
      <c r="A466" s="30">
        <v>45422</v>
      </c>
      <c r="B466" s="26" t="s">
        <v>1183</v>
      </c>
      <c r="C466" s="26" t="s">
        <v>3</v>
      </c>
      <c r="D466" s="26" t="s">
        <v>1184</v>
      </c>
      <c r="E466" s="26"/>
      <c r="F466" s="28">
        <v>699819841</v>
      </c>
      <c r="G466" s="26"/>
      <c r="H466" s="26"/>
      <c r="I466" s="26"/>
      <c r="J466" s="30"/>
      <c r="K466" s="26"/>
      <c r="M466" s="30"/>
      <c r="O466" s="26"/>
      <c r="P466" s="31"/>
      <c r="Q466" s="31"/>
      <c r="R466" s="26"/>
      <c r="S466" s="26"/>
      <c r="T466" s="31"/>
      <c r="U466" s="26"/>
      <c r="V466" s="26">
        <f t="shared" si="42"/>
        <v>1</v>
      </c>
      <c r="W466" s="26">
        <f t="shared" si="48"/>
        <v>0</v>
      </c>
      <c r="X466" s="26">
        <f>Data_Base[[#This Row],[B.N Total]]-Data_Base[[#This Row],[Nbre Brachements exécuté]]</f>
        <v>1</v>
      </c>
      <c r="Y466" s="26" t="str">
        <f t="shared" si="43"/>
        <v>vendredi</v>
      </c>
      <c r="Z466" s="26" t="str">
        <f t="shared" si="44"/>
        <v>10</v>
      </c>
      <c r="AA466" s="26" t="str">
        <f t="shared" si="47"/>
        <v>05</v>
      </c>
      <c r="AB466" s="26" t="str">
        <f t="shared" si="45"/>
        <v>2024</v>
      </c>
    </row>
    <row r="467" spans="1:28" x14ac:dyDescent="0.25">
      <c r="A467" s="30">
        <v>45422</v>
      </c>
      <c r="B467" s="26" t="s">
        <v>1185</v>
      </c>
      <c r="C467" s="26" t="s">
        <v>2</v>
      </c>
      <c r="D467" s="26" t="s">
        <v>1186</v>
      </c>
      <c r="E467" s="26"/>
      <c r="F467" s="28">
        <v>695153881</v>
      </c>
      <c r="G467" s="26"/>
      <c r="H467" s="26"/>
      <c r="I467" s="26"/>
      <c r="J467" s="30"/>
      <c r="K467" s="26"/>
      <c r="M467" s="30"/>
      <c r="O467" s="26"/>
      <c r="P467" s="31"/>
      <c r="Q467" s="31"/>
      <c r="R467" s="26"/>
      <c r="S467" s="26"/>
      <c r="T467" s="31"/>
      <c r="U467" s="26"/>
      <c r="V467" s="26">
        <f t="shared" si="42"/>
        <v>1</v>
      </c>
      <c r="W467" s="26">
        <f t="shared" si="48"/>
        <v>0</v>
      </c>
      <c r="X467" s="26">
        <f>Data_Base[[#This Row],[B.N Total]]-Data_Base[[#This Row],[Nbre Brachements exécuté]]</f>
        <v>1</v>
      </c>
      <c r="Y467" s="26" t="str">
        <f t="shared" si="43"/>
        <v>vendredi</v>
      </c>
      <c r="Z467" s="26" t="str">
        <f t="shared" si="44"/>
        <v>10</v>
      </c>
      <c r="AA467" s="26" t="str">
        <f t="shared" si="47"/>
        <v>05</v>
      </c>
      <c r="AB467" s="26" t="str">
        <f t="shared" si="45"/>
        <v>2024</v>
      </c>
    </row>
    <row r="468" spans="1:28" x14ac:dyDescent="0.25">
      <c r="A468" s="30">
        <v>45422</v>
      </c>
      <c r="B468" s="26" t="s">
        <v>1187</v>
      </c>
      <c r="C468" s="26" t="s">
        <v>2</v>
      </c>
      <c r="D468" s="26" t="s">
        <v>1188</v>
      </c>
      <c r="E468" s="26"/>
      <c r="F468" s="28">
        <v>680835071</v>
      </c>
      <c r="G468" s="26"/>
      <c r="H468" s="26"/>
      <c r="I468" s="26"/>
      <c r="J468" s="30"/>
      <c r="K468" s="26"/>
      <c r="M468" s="30"/>
      <c r="O468" s="26"/>
      <c r="P468" s="31"/>
      <c r="Q468" s="31"/>
      <c r="R468" s="26"/>
      <c r="S468" s="26"/>
      <c r="T468" s="31"/>
      <c r="U468" s="26"/>
      <c r="V468" s="26">
        <f t="shared" si="42"/>
        <v>1</v>
      </c>
      <c r="W468" s="26">
        <f t="shared" si="48"/>
        <v>0</v>
      </c>
      <c r="X468" s="26">
        <f>Data_Base[[#This Row],[B.N Total]]-Data_Base[[#This Row],[Nbre Brachements exécuté]]</f>
        <v>1</v>
      </c>
      <c r="Y468" s="26" t="str">
        <f t="shared" si="43"/>
        <v>vendredi</v>
      </c>
      <c r="Z468" s="26" t="str">
        <f t="shared" si="44"/>
        <v>10</v>
      </c>
      <c r="AA468" s="26" t="str">
        <f t="shared" si="47"/>
        <v>05</v>
      </c>
      <c r="AB468" s="26" t="str">
        <f t="shared" si="45"/>
        <v>2024</v>
      </c>
    </row>
    <row r="469" spans="1:28" x14ac:dyDescent="0.25">
      <c r="A469" s="30">
        <v>45422</v>
      </c>
      <c r="B469" s="26" t="s">
        <v>1189</v>
      </c>
      <c r="C469" s="26" t="s">
        <v>2</v>
      </c>
      <c r="D469" s="26" t="s">
        <v>1190</v>
      </c>
      <c r="E469" s="26"/>
      <c r="F469" s="28">
        <v>675904912</v>
      </c>
      <c r="G469" s="26"/>
      <c r="H469" s="26"/>
      <c r="I469" s="26"/>
      <c r="J469" s="30"/>
      <c r="K469" s="26"/>
      <c r="M469" s="30"/>
      <c r="O469" s="26"/>
      <c r="P469" s="31"/>
      <c r="Q469" s="31"/>
      <c r="R469" s="26"/>
      <c r="S469" s="26"/>
      <c r="T469" s="31"/>
      <c r="U469" s="26"/>
      <c r="V469" s="26">
        <f t="shared" si="42"/>
        <v>1</v>
      </c>
      <c r="W469" s="26">
        <f t="shared" si="48"/>
        <v>0</v>
      </c>
      <c r="X469" s="26">
        <f>Data_Base[[#This Row],[B.N Total]]-Data_Base[[#This Row],[Nbre Brachements exécuté]]</f>
        <v>1</v>
      </c>
      <c r="Y469" s="26" t="str">
        <f t="shared" si="43"/>
        <v>vendredi</v>
      </c>
      <c r="Z469" s="26" t="str">
        <f t="shared" si="44"/>
        <v>10</v>
      </c>
      <c r="AA469" s="26" t="str">
        <f t="shared" si="47"/>
        <v>05</v>
      </c>
      <c r="AB469" s="26" t="str">
        <f t="shared" si="45"/>
        <v>2024</v>
      </c>
    </row>
    <row r="470" spans="1:28" x14ac:dyDescent="0.25">
      <c r="A470" s="30">
        <v>45422</v>
      </c>
      <c r="B470" s="26" t="s">
        <v>1189</v>
      </c>
      <c r="C470" s="26" t="s">
        <v>2</v>
      </c>
      <c r="D470" s="26" t="s">
        <v>1191</v>
      </c>
      <c r="E470" s="26"/>
      <c r="F470" s="28">
        <v>675904912</v>
      </c>
      <c r="G470" s="26"/>
      <c r="H470" s="26"/>
      <c r="I470" s="26"/>
      <c r="J470" s="30"/>
      <c r="K470" s="26"/>
      <c r="M470" s="30"/>
      <c r="O470" s="26"/>
      <c r="P470" s="31"/>
      <c r="Q470" s="31"/>
      <c r="R470" s="26"/>
      <c r="S470" s="26"/>
      <c r="T470" s="31"/>
      <c r="U470" s="26"/>
      <c r="V470" s="26">
        <f t="shared" si="42"/>
        <v>1</v>
      </c>
      <c r="W470" s="26">
        <f t="shared" si="48"/>
        <v>0</v>
      </c>
      <c r="X470" s="26">
        <f>Data_Base[[#This Row],[B.N Total]]-Data_Base[[#This Row],[Nbre Brachements exécuté]]</f>
        <v>1</v>
      </c>
      <c r="Y470" s="26" t="str">
        <f t="shared" si="43"/>
        <v>vendredi</v>
      </c>
      <c r="Z470" s="26" t="str">
        <f t="shared" si="44"/>
        <v>10</v>
      </c>
      <c r="AA470" s="26" t="str">
        <f t="shared" si="47"/>
        <v>05</v>
      </c>
      <c r="AB470" s="26" t="str">
        <f t="shared" si="45"/>
        <v>2024</v>
      </c>
    </row>
    <row r="471" spans="1:28" x14ac:dyDescent="0.25">
      <c r="A471" s="30">
        <v>45422</v>
      </c>
      <c r="B471" s="26" t="s">
        <v>1192</v>
      </c>
      <c r="C471" s="26" t="s">
        <v>2</v>
      </c>
      <c r="D471" s="26" t="s">
        <v>1193</v>
      </c>
      <c r="E471" s="26"/>
      <c r="G471" s="26"/>
      <c r="H471" s="26"/>
      <c r="I471" s="26"/>
      <c r="J471" s="30"/>
      <c r="K471" s="26"/>
      <c r="M471" s="30"/>
      <c r="O471" s="26"/>
      <c r="P471" s="31"/>
      <c r="Q471" s="31"/>
      <c r="R471" s="26"/>
      <c r="S471" s="26"/>
      <c r="T471" s="31"/>
      <c r="U471" s="26"/>
      <c r="V471" s="26">
        <f t="shared" si="42"/>
        <v>1</v>
      </c>
      <c r="W471" s="26">
        <f t="shared" si="48"/>
        <v>0</v>
      </c>
      <c r="X471" s="26">
        <f>Data_Base[[#This Row],[B.N Total]]-Data_Base[[#This Row],[Nbre Brachements exécuté]]</f>
        <v>1</v>
      </c>
      <c r="Y471" s="26" t="str">
        <f t="shared" si="43"/>
        <v>vendredi</v>
      </c>
      <c r="Z471" s="26" t="str">
        <f t="shared" si="44"/>
        <v>10</v>
      </c>
      <c r="AA471" s="26" t="str">
        <f t="shared" si="47"/>
        <v>05</v>
      </c>
      <c r="AB471" s="26" t="str">
        <f t="shared" si="45"/>
        <v>2024</v>
      </c>
    </row>
    <row r="472" spans="1:28" x14ac:dyDescent="0.25">
      <c r="A472" s="30">
        <v>45422</v>
      </c>
      <c r="B472" s="26" t="s">
        <v>1194</v>
      </c>
      <c r="C472" s="26" t="s">
        <v>2</v>
      </c>
      <c r="D472" s="26" t="s">
        <v>862</v>
      </c>
      <c r="E472" s="26"/>
      <c r="F472" s="28">
        <v>694070560</v>
      </c>
      <c r="G472" s="26"/>
      <c r="H472" s="26"/>
      <c r="I472" s="26"/>
      <c r="J472" s="30"/>
      <c r="K472" s="26"/>
      <c r="M472" s="30"/>
      <c r="O472" s="26"/>
      <c r="P472" s="31"/>
      <c r="Q472" s="31"/>
      <c r="R472" s="26"/>
      <c r="S472" s="26"/>
      <c r="T472" s="31"/>
      <c r="U472" s="26"/>
      <c r="V472" s="26">
        <f t="shared" si="42"/>
        <v>1</v>
      </c>
      <c r="W472" s="26">
        <f t="shared" si="48"/>
        <v>0</v>
      </c>
      <c r="X472" s="26">
        <f>Data_Base[[#This Row],[B.N Total]]-Data_Base[[#This Row],[Nbre Brachements exécuté]]</f>
        <v>1</v>
      </c>
      <c r="Y472" s="26" t="str">
        <f t="shared" si="43"/>
        <v>vendredi</v>
      </c>
      <c r="Z472" s="26" t="str">
        <f t="shared" si="44"/>
        <v>10</v>
      </c>
      <c r="AA472" s="26" t="str">
        <f t="shared" si="47"/>
        <v>05</v>
      </c>
      <c r="AB472" s="26" t="str">
        <f t="shared" si="45"/>
        <v>2024</v>
      </c>
    </row>
    <row r="473" spans="1:28" x14ac:dyDescent="0.25">
      <c r="A473" s="30">
        <v>45422</v>
      </c>
      <c r="B473" s="26" t="s">
        <v>1195</v>
      </c>
      <c r="C473" s="26" t="s">
        <v>2</v>
      </c>
      <c r="D473" s="26" t="s">
        <v>1196</v>
      </c>
      <c r="E473" s="26"/>
      <c r="F473" s="28">
        <v>675671850</v>
      </c>
      <c r="G473" s="26"/>
      <c r="H473" s="26"/>
      <c r="I473" s="26"/>
      <c r="J473" s="30"/>
      <c r="K473" s="26"/>
      <c r="M473" s="30"/>
      <c r="O473" s="26"/>
      <c r="P473" s="31"/>
      <c r="Q473" s="31"/>
      <c r="R473" s="26"/>
      <c r="S473" s="26"/>
      <c r="T473" s="31"/>
      <c r="U473" s="26"/>
      <c r="V473" s="26">
        <f t="shared" si="42"/>
        <v>1</v>
      </c>
      <c r="W473" s="26">
        <f t="shared" si="48"/>
        <v>0</v>
      </c>
      <c r="X473" s="26">
        <f>Data_Base[[#This Row],[B.N Total]]-Data_Base[[#This Row],[Nbre Brachements exécuté]]</f>
        <v>1</v>
      </c>
      <c r="Y473" s="26" t="str">
        <f t="shared" si="43"/>
        <v>vendredi</v>
      </c>
      <c r="Z473" s="26" t="str">
        <f t="shared" si="44"/>
        <v>10</v>
      </c>
      <c r="AA473" s="26" t="str">
        <f t="shared" si="47"/>
        <v>05</v>
      </c>
      <c r="AB473" s="26" t="str">
        <f t="shared" si="45"/>
        <v>2024</v>
      </c>
    </row>
    <row r="474" spans="1:28" x14ac:dyDescent="0.25">
      <c r="A474" s="30">
        <v>45422</v>
      </c>
      <c r="B474" s="26" t="s">
        <v>1197</v>
      </c>
      <c r="C474" s="26" t="s">
        <v>2</v>
      </c>
      <c r="D474" s="26" t="s">
        <v>1198</v>
      </c>
      <c r="E474" s="26"/>
      <c r="F474" s="28">
        <v>670476105</v>
      </c>
      <c r="G474" s="26"/>
      <c r="H474" s="26"/>
      <c r="I474" s="26"/>
      <c r="J474" s="30"/>
      <c r="K474" s="26"/>
      <c r="M474" s="30"/>
      <c r="O474" s="26"/>
      <c r="P474" s="31"/>
      <c r="Q474" s="31"/>
      <c r="R474" s="26"/>
      <c r="S474" s="26"/>
      <c r="T474" s="31"/>
      <c r="U474" s="26"/>
      <c r="V474" s="26">
        <f t="shared" si="42"/>
        <v>1</v>
      </c>
      <c r="W474" s="26">
        <f t="shared" si="48"/>
        <v>0</v>
      </c>
      <c r="X474" s="26">
        <f>Data_Base[[#This Row],[B.N Total]]-Data_Base[[#This Row],[Nbre Brachements exécuté]]</f>
        <v>1</v>
      </c>
      <c r="Y474" s="26" t="str">
        <f t="shared" si="43"/>
        <v>vendredi</v>
      </c>
      <c r="Z474" s="26" t="str">
        <f t="shared" si="44"/>
        <v>10</v>
      </c>
      <c r="AA474" s="26" t="str">
        <f t="shared" si="47"/>
        <v>05</v>
      </c>
      <c r="AB474" s="26" t="str">
        <f t="shared" si="45"/>
        <v>2024</v>
      </c>
    </row>
    <row r="475" spans="1:28" x14ac:dyDescent="0.25">
      <c r="A475" s="30">
        <v>45422</v>
      </c>
      <c r="B475" s="26" t="s">
        <v>1199</v>
      </c>
      <c r="C475" s="26" t="s">
        <v>2</v>
      </c>
      <c r="D475" s="26" t="s">
        <v>1200</v>
      </c>
      <c r="E475" s="26"/>
      <c r="F475" s="28">
        <v>698947642</v>
      </c>
      <c r="G475" s="26"/>
      <c r="H475" s="26"/>
      <c r="I475" s="26"/>
      <c r="J475" s="30"/>
      <c r="K475" s="26"/>
      <c r="M475" s="30"/>
      <c r="O475" s="26"/>
      <c r="P475" s="31"/>
      <c r="Q475" s="31"/>
      <c r="R475" s="26"/>
      <c r="S475" s="26"/>
      <c r="T475" s="31"/>
      <c r="U475" s="26"/>
      <c r="V475" s="26">
        <f t="shared" si="42"/>
        <v>1</v>
      </c>
      <c r="W475" s="26">
        <f t="shared" si="48"/>
        <v>0</v>
      </c>
      <c r="X475" s="26">
        <f>Data_Base[[#This Row],[B.N Total]]-Data_Base[[#This Row],[Nbre Brachements exécuté]]</f>
        <v>1</v>
      </c>
      <c r="Y475" s="26" t="str">
        <f t="shared" si="43"/>
        <v>vendredi</v>
      </c>
      <c r="Z475" s="26" t="str">
        <f t="shared" si="44"/>
        <v>10</v>
      </c>
      <c r="AA475" s="26" t="str">
        <f t="shared" si="47"/>
        <v>05</v>
      </c>
      <c r="AB475" s="26" t="str">
        <f t="shared" si="45"/>
        <v>2024</v>
      </c>
    </row>
    <row r="476" spans="1:28" x14ac:dyDescent="0.25">
      <c r="A476" s="30">
        <v>45422</v>
      </c>
      <c r="B476" s="26" t="s">
        <v>1201</v>
      </c>
      <c r="C476" s="26" t="s">
        <v>2</v>
      </c>
      <c r="D476" s="26" t="s">
        <v>1202</v>
      </c>
      <c r="E476" s="26"/>
      <c r="F476" s="28">
        <v>691897576</v>
      </c>
      <c r="G476" s="26"/>
      <c r="H476" s="26"/>
      <c r="I476" s="26"/>
      <c r="J476" s="30"/>
      <c r="K476" s="26"/>
      <c r="M476" s="30"/>
      <c r="O476" s="26"/>
      <c r="P476" s="31"/>
      <c r="Q476" s="31"/>
      <c r="R476" s="26"/>
      <c r="S476" s="26"/>
      <c r="T476" s="31"/>
      <c r="U476" s="26"/>
      <c r="V476" s="26">
        <f t="shared" si="42"/>
        <v>1</v>
      </c>
      <c r="W476" s="26">
        <f t="shared" si="48"/>
        <v>0</v>
      </c>
      <c r="X476" s="26">
        <f>Data_Base[[#This Row],[B.N Total]]-Data_Base[[#This Row],[Nbre Brachements exécuté]]</f>
        <v>1</v>
      </c>
      <c r="Y476" s="26" t="str">
        <f t="shared" si="43"/>
        <v>vendredi</v>
      </c>
      <c r="Z476" s="26" t="str">
        <f t="shared" si="44"/>
        <v>10</v>
      </c>
      <c r="AA476" s="26" t="str">
        <f t="shared" si="47"/>
        <v>05</v>
      </c>
      <c r="AB476" s="26" t="str">
        <f t="shared" si="45"/>
        <v>2024</v>
      </c>
    </row>
    <row r="477" spans="1:28" x14ac:dyDescent="0.25">
      <c r="A477" s="30">
        <v>45422</v>
      </c>
      <c r="B477" s="26" t="s">
        <v>1203</v>
      </c>
      <c r="C477" s="26" t="s">
        <v>66</v>
      </c>
      <c r="D477" s="26" t="s">
        <v>1204</v>
      </c>
      <c r="E477" s="26"/>
      <c r="F477" s="28">
        <v>677607674</v>
      </c>
      <c r="G477" s="26"/>
      <c r="H477" s="26"/>
      <c r="I477" s="26"/>
      <c r="J477" s="30"/>
      <c r="K477" s="26"/>
      <c r="M477" s="30"/>
      <c r="O477" s="26"/>
      <c r="P477" s="31"/>
      <c r="Q477" s="31"/>
      <c r="R477" s="26"/>
      <c r="S477" s="26"/>
      <c r="T477" s="31"/>
      <c r="U477" s="26"/>
      <c r="V477" s="26">
        <f t="shared" si="42"/>
        <v>1</v>
      </c>
      <c r="W477" s="26">
        <f t="shared" si="48"/>
        <v>0</v>
      </c>
      <c r="X477" s="26">
        <f>Data_Base[[#This Row],[B.N Total]]-Data_Base[[#This Row],[Nbre Brachements exécuté]]</f>
        <v>1</v>
      </c>
      <c r="Y477" s="26" t="str">
        <f t="shared" si="43"/>
        <v>vendredi</v>
      </c>
      <c r="Z477" s="26" t="str">
        <f t="shared" si="44"/>
        <v>10</v>
      </c>
      <c r="AA477" s="26" t="str">
        <f t="shared" si="47"/>
        <v>05</v>
      </c>
      <c r="AB477" s="26" t="str">
        <f t="shared" si="45"/>
        <v>2024</v>
      </c>
    </row>
    <row r="478" spans="1:28" x14ac:dyDescent="0.25">
      <c r="A478" s="30">
        <v>45422</v>
      </c>
      <c r="B478" s="26" t="s">
        <v>1203</v>
      </c>
      <c r="C478" s="26" t="s">
        <v>66</v>
      </c>
      <c r="D478" s="26" t="s">
        <v>1205</v>
      </c>
      <c r="E478" s="26"/>
      <c r="F478" s="28">
        <v>677607674</v>
      </c>
      <c r="G478" s="26"/>
      <c r="H478" s="26"/>
      <c r="I478" s="26"/>
      <c r="J478" s="30"/>
      <c r="K478" s="26"/>
      <c r="M478" s="30"/>
      <c r="O478" s="26"/>
      <c r="P478" s="31"/>
      <c r="Q478" s="31"/>
      <c r="R478" s="26"/>
      <c r="S478" s="26"/>
      <c r="T478" s="31"/>
      <c r="U478" s="26"/>
      <c r="V478" s="26">
        <f t="shared" si="42"/>
        <v>1</v>
      </c>
      <c r="W478" s="26">
        <f t="shared" si="48"/>
        <v>0</v>
      </c>
      <c r="X478" s="26">
        <f>Data_Base[[#This Row],[B.N Total]]-Data_Base[[#This Row],[Nbre Brachements exécuté]]</f>
        <v>1</v>
      </c>
      <c r="Y478" s="26" t="str">
        <f t="shared" si="43"/>
        <v>vendredi</v>
      </c>
      <c r="Z478" s="26" t="str">
        <f t="shared" si="44"/>
        <v>10</v>
      </c>
      <c r="AA478" s="26" t="str">
        <f t="shared" si="47"/>
        <v>05</v>
      </c>
      <c r="AB478" s="26" t="str">
        <f t="shared" si="45"/>
        <v>2024</v>
      </c>
    </row>
    <row r="479" spans="1:28" x14ac:dyDescent="0.25">
      <c r="A479" s="30">
        <v>45422</v>
      </c>
      <c r="B479" s="26" t="s">
        <v>1203</v>
      </c>
      <c r="C479" s="26" t="s">
        <v>66</v>
      </c>
      <c r="D479" s="26" t="s">
        <v>1206</v>
      </c>
      <c r="E479" s="26"/>
      <c r="F479" s="28">
        <v>677607674</v>
      </c>
      <c r="G479" s="26"/>
      <c r="H479" s="26"/>
      <c r="I479" s="26"/>
      <c r="J479" s="30"/>
      <c r="K479" s="26"/>
      <c r="M479" s="30"/>
      <c r="O479" s="26"/>
      <c r="P479" s="31"/>
      <c r="Q479" s="31"/>
      <c r="R479" s="26"/>
      <c r="S479" s="26"/>
      <c r="T479" s="31"/>
      <c r="U479" s="26"/>
      <c r="V479" s="26">
        <f t="shared" si="42"/>
        <v>1</v>
      </c>
      <c r="W479" s="26">
        <f t="shared" si="48"/>
        <v>0</v>
      </c>
      <c r="X479" s="26">
        <f>Data_Base[[#This Row],[B.N Total]]-Data_Base[[#This Row],[Nbre Brachements exécuté]]</f>
        <v>1</v>
      </c>
      <c r="Y479" s="26" t="str">
        <f t="shared" si="43"/>
        <v>vendredi</v>
      </c>
      <c r="Z479" s="26" t="str">
        <f t="shared" si="44"/>
        <v>10</v>
      </c>
      <c r="AA479" s="26" t="str">
        <f t="shared" si="47"/>
        <v>05</v>
      </c>
      <c r="AB479" s="26" t="str">
        <f t="shared" si="45"/>
        <v>2024</v>
      </c>
    </row>
    <row r="480" spans="1:28" x14ac:dyDescent="0.25">
      <c r="A480" s="30">
        <v>45422</v>
      </c>
      <c r="B480" s="26" t="s">
        <v>1207</v>
      </c>
      <c r="C480" s="26" t="s">
        <v>66</v>
      </c>
      <c r="D480" s="26" t="s">
        <v>1208</v>
      </c>
      <c r="E480" s="26"/>
      <c r="F480" s="28">
        <v>678503396</v>
      </c>
      <c r="G480" s="26"/>
      <c r="H480" s="26"/>
      <c r="I480" s="26"/>
      <c r="J480" s="30"/>
      <c r="K480" s="26"/>
      <c r="M480" s="30"/>
      <c r="O480" s="26"/>
      <c r="P480" s="31"/>
      <c r="Q480" s="31"/>
      <c r="R480" s="26"/>
      <c r="S480" s="26"/>
      <c r="T480" s="31"/>
      <c r="U480" s="26"/>
      <c r="V480" s="26">
        <f t="shared" si="42"/>
        <v>1</v>
      </c>
      <c r="W480" s="26">
        <f t="shared" si="48"/>
        <v>0</v>
      </c>
      <c r="X480" s="26">
        <f>Data_Base[[#This Row],[B.N Total]]-Data_Base[[#This Row],[Nbre Brachements exécuté]]</f>
        <v>1</v>
      </c>
      <c r="Y480" s="26" t="str">
        <f t="shared" si="43"/>
        <v>vendredi</v>
      </c>
      <c r="Z480" s="26" t="str">
        <f t="shared" si="44"/>
        <v>10</v>
      </c>
      <c r="AA480" s="26" t="str">
        <f t="shared" si="47"/>
        <v>05</v>
      </c>
      <c r="AB480" s="26" t="str">
        <f t="shared" si="45"/>
        <v>2024</v>
      </c>
    </row>
    <row r="481" spans="1:28" x14ac:dyDescent="0.25">
      <c r="A481" s="30">
        <v>45422</v>
      </c>
      <c r="B481" s="26" t="s">
        <v>1209</v>
      </c>
      <c r="C481" s="26" t="s">
        <v>66</v>
      </c>
      <c r="D481" s="26" t="s">
        <v>1210</v>
      </c>
      <c r="E481" s="26"/>
      <c r="F481" s="28">
        <v>674638680</v>
      </c>
      <c r="G481" s="26"/>
      <c r="H481" s="26"/>
      <c r="I481" s="26"/>
      <c r="J481" s="30"/>
      <c r="K481" s="26"/>
      <c r="M481" s="30"/>
      <c r="O481" s="26"/>
      <c r="P481" s="31"/>
      <c r="Q481" s="31"/>
      <c r="R481" s="26"/>
      <c r="S481" s="26"/>
      <c r="T481" s="31"/>
      <c r="U481" s="26"/>
      <c r="V481" s="26">
        <f t="shared" si="42"/>
        <v>1</v>
      </c>
      <c r="W481" s="26">
        <f t="shared" si="48"/>
        <v>0</v>
      </c>
      <c r="X481" s="26">
        <f>Data_Base[[#This Row],[B.N Total]]-Data_Base[[#This Row],[Nbre Brachements exécuté]]</f>
        <v>1</v>
      </c>
      <c r="Y481" s="26" t="str">
        <f t="shared" si="43"/>
        <v>vendredi</v>
      </c>
      <c r="Z481" s="26" t="str">
        <f t="shared" si="44"/>
        <v>10</v>
      </c>
      <c r="AA481" s="26" t="str">
        <f t="shared" si="47"/>
        <v>05</v>
      </c>
      <c r="AB481" s="26" t="str">
        <f t="shared" si="45"/>
        <v>2024</v>
      </c>
    </row>
    <row r="482" spans="1:28" x14ac:dyDescent="0.25">
      <c r="A482" s="30">
        <v>45422</v>
      </c>
      <c r="B482" s="26" t="s">
        <v>1211</v>
      </c>
      <c r="C482" s="26" t="s">
        <v>66</v>
      </c>
      <c r="D482" s="26" t="s">
        <v>1212</v>
      </c>
      <c r="E482" s="26"/>
      <c r="F482" s="28">
        <v>699127854</v>
      </c>
      <c r="G482" s="26"/>
      <c r="H482" s="26"/>
      <c r="I482" s="26"/>
      <c r="J482" s="30"/>
      <c r="K482" s="26"/>
      <c r="M482" s="30"/>
      <c r="O482" s="26"/>
      <c r="P482" s="31"/>
      <c r="Q482" s="31"/>
      <c r="R482" s="26"/>
      <c r="S482" s="26"/>
      <c r="T482" s="31"/>
      <c r="U482" s="26"/>
      <c r="V482" s="26">
        <f t="shared" si="42"/>
        <v>1</v>
      </c>
      <c r="W482" s="26">
        <f t="shared" si="48"/>
        <v>0</v>
      </c>
      <c r="X482" s="26">
        <f>Data_Base[[#This Row],[B.N Total]]-Data_Base[[#This Row],[Nbre Brachements exécuté]]</f>
        <v>1</v>
      </c>
      <c r="Y482" s="26" t="str">
        <f t="shared" si="43"/>
        <v>vendredi</v>
      </c>
      <c r="Z482" s="26" t="str">
        <f t="shared" si="44"/>
        <v>10</v>
      </c>
      <c r="AA482" s="26" t="str">
        <f t="shared" si="47"/>
        <v>05</v>
      </c>
      <c r="AB482" s="26" t="str">
        <f t="shared" si="45"/>
        <v>2024</v>
      </c>
    </row>
    <row r="483" spans="1:28" x14ac:dyDescent="0.25">
      <c r="A483" s="30">
        <v>45422</v>
      </c>
      <c r="B483" s="26" t="s">
        <v>1213</v>
      </c>
      <c r="C483" s="26" t="s">
        <v>66</v>
      </c>
      <c r="D483" s="26" t="s">
        <v>1214</v>
      </c>
      <c r="E483" s="26"/>
      <c r="F483" s="28">
        <v>693744991</v>
      </c>
      <c r="G483" s="26"/>
      <c r="H483" s="26"/>
      <c r="I483" s="26"/>
      <c r="J483" s="30"/>
      <c r="K483" s="26"/>
      <c r="M483" s="30"/>
      <c r="O483" s="26"/>
      <c r="P483" s="31"/>
      <c r="Q483" s="31"/>
      <c r="R483" s="26"/>
      <c r="S483" s="26"/>
      <c r="T483" s="31"/>
      <c r="U483" s="26"/>
      <c r="V483" s="26">
        <f t="shared" si="42"/>
        <v>1</v>
      </c>
      <c r="W483" s="26">
        <f t="shared" si="48"/>
        <v>0</v>
      </c>
      <c r="X483" s="26">
        <f>Data_Base[[#This Row],[B.N Total]]-Data_Base[[#This Row],[Nbre Brachements exécuté]]</f>
        <v>1</v>
      </c>
      <c r="Y483" s="26" t="str">
        <f t="shared" si="43"/>
        <v>vendredi</v>
      </c>
      <c r="Z483" s="26" t="str">
        <f t="shared" si="44"/>
        <v>10</v>
      </c>
      <c r="AA483" s="26" t="str">
        <f t="shared" si="47"/>
        <v>05</v>
      </c>
      <c r="AB483" s="26" t="str">
        <f t="shared" si="45"/>
        <v>2024</v>
      </c>
    </row>
    <row r="484" spans="1:28" x14ac:dyDescent="0.25">
      <c r="A484" s="30">
        <v>45422</v>
      </c>
      <c r="B484" s="26" t="s">
        <v>1215</v>
      </c>
      <c r="C484" s="26" t="s">
        <v>66</v>
      </c>
      <c r="D484" s="26" t="s">
        <v>1216</v>
      </c>
      <c r="E484" s="26"/>
      <c r="F484" s="28">
        <v>693728207</v>
      </c>
      <c r="G484" s="26" t="s">
        <v>160</v>
      </c>
      <c r="H484" s="26" t="s">
        <v>567</v>
      </c>
      <c r="I484" s="26" t="s">
        <v>573</v>
      </c>
      <c r="J484" s="30">
        <v>45425</v>
      </c>
      <c r="K484" s="26" t="s">
        <v>546</v>
      </c>
      <c r="M484" s="30"/>
      <c r="O484" s="26"/>
      <c r="P484" s="31"/>
      <c r="Q484" s="31"/>
      <c r="R484" s="26"/>
      <c r="S484" s="26"/>
      <c r="T484" s="31"/>
      <c r="U484" s="26"/>
      <c r="V484" s="26">
        <f t="shared" si="42"/>
        <v>1</v>
      </c>
      <c r="W484" s="26">
        <f t="shared" si="48"/>
        <v>0</v>
      </c>
      <c r="X484" s="26">
        <f>Data_Base[[#This Row],[B.N Total]]-Data_Base[[#This Row],[Nbre Brachements exécuté]]</f>
        <v>1</v>
      </c>
      <c r="Y484" s="26" t="str">
        <f t="shared" si="43"/>
        <v>vendredi</v>
      </c>
      <c r="Z484" s="26" t="str">
        <f t="shared" si="44"/>
        <v>10</v>
      </c>
      <c r="AA484" s="26" t="str">
        <f t="shared" si="47"/>
        <v>05</v>
      </c>
      <c r="AB484" s="26" t="str">
        <f t="shared" si="45"/>
        <v>2024</v>
      </c>
    </row>
    <row r="485" spans="1:28" x14ac:dyDescent="0.25">
      <c r="A485" s="30">
        <v>45422</v>
      </c>
      <c r="B485" s="26" t="s">
        <v>1217</v>
      </c>
      <c r="C485" s="26" t="s">
        <v>66</v>
      </c>
      <c r="D485" s="26" t="s">
        <v>1218</v>
      </c>
      <c r="E485" s="26"/>
      <c r="F485" s="28">
        <v>696487126</v>
      </c>
      <c r="G485" s="26" t="s">
        <v>160</v>
      </c>
      <c r="H485" s="26" t="s">
        <v>161</v>
      </c>
      <c r="I485" s="26" t="s">
        <v>586</v>
      </c>
      <c r="J485" s="30">
        <v>45425</v>
      </c>
      <c r="K485" s="26"/>
      <c r="M485" s="30"/>
      <c r="O485" s="26"/>
      <c r="P485" s="31"/>
      <c r="Q485" s="31"/>
      <c r="R485" s="26"/>
      <c r="S485" s="26"/>
      <c r="T485" s="31"/>
      <c r="U485" s="26"/>
      <c r="V485" s="26">
        <f t="shared" si="42"/>
        <v>1</v>
      </c>
      <c r="W485" s="26">
        <f t="shared" si="48"/>
        <v>0</v>
      </c>
      <c r="X485" s="26">
        <f>Data_Base[[#This Row],[B.N Total]]-Data_Base[[#This Row],[Nbre Brachements exécuté]]</f>
        <v>1</v>
      </c>
      <c r="Y485" s="26" t="str">
        <f t="shared" si="43"/>
        <v>vendredi</v>
      </c>
      <c r="Z485" s="26" t="str">
        <f t="shared" si="44"/>
        <v>10</v>
      </c>
      <c r="AA485" s="26" t="str">
        <f t="shared" si="47"/>
        <v>05</v>
      </c>
      <c r="AB485" s="26" t="str">
        <f t="shared" si="45"/>
        <v>2024</v>
      </c>
    </row>
    <row r="486" spans="1:28" x14ac:dyDescent="0.25">
      <c r="A486" s="30">
        <v>45422</v>
      </c>
      <c r="B486" s="26" t="s">
        <v>1219</v>
      </c>
      <c r="C486" s="26" t="s">
        <v>66</v>
      </c>
      <c r="D486" s="26" t="s">
        <v>1220</v>
      </c>
      <c r="E486" s="26"/>
      <c r="F486" s="28">
        <v>695198599</v>
      </c>
      <c r="G486" s="26" t="s">
        <v>160</v>
      </c>
      <c r="H486" s="26" t="s">
        <v>161</v>
      </c>
      <c r="I486" s="26" t="s">
        <v>586</v>
      </c>
      <c r="J486" s="30">
        <v>45425</v>
      </c>
      <c r="K486" s="26"/>
      <c r="M486" s="30"/>
      <c r="O486" s="26"/>
      <c r="P486" s="31"/>
      <c r="Q486" s="31"/>
      <c r="R486" s="26"/>
      <c r="S486" s="26"/>
      <c r="T486" s="31"/>
      <c r="U486" s="26"/>
      <c r="V486" s="26">
        <f t="shared" si="42"/>
        <v>1</v>
      </c>
      <c r="W486" s="26">
        <f t="shared" si="48"/>
        <v>0</v>
      </c>
      <c r="X486" s="26">
        <f>Data_Base[[#This Row],[B.N Total]]-Data_Base[[#This Row],[Nbre Brachements exécuté]]</f>
        <v>1</v>
      </c>
      <c r="Y486" s="26" t="str">
        <f t="shared" si="43"/>
        <v>vendredi</v>
      </c>
      <c r="Z486" s="26" t="str">
        <f t="shared" si="44"/>
        <v>10</v>
      </c>
      <c r="AA486" s="26" t="str">
        <f t="shared" si="47"/>
        <v>05</v>
      </c>
      <c r="AB486" s="26" t="str">
        <f t="shared" si="45"/>
        <v>2024</v>
      </c>
    </row>
    <row r="487" spans="1:28" x14ac:dyDescent="0.25">
      <c r="A487" s="30">
        <v>45422</v>
      </c>
      <c r="B487" s="26" t="s">
        <v>1221</v>
      </c>
      <c r="C487" s="26" t="s">
        <v>2</v>
      </c>
      <c r="D487" s="26" t="s">
        <v>1222</v>
      </c>
      <c r="E487" s="26"/>
      <c r="F487" s="28">
        <v>670864950</v>
      </c>
      <c r="G487" s="26"/>
      <c r="H487" s="26"/>
      <c r="I487" s="26"/>
      <c r="J487" s="30"/>
      <c r="K487" s="26"/>
      <c r="M487" s="30"/>
      <c r="O487" s="26"/>
      <c r="P487" s="31"/>
      <c r="Q487" s="31"/>
      <c r="R487" s="26"/>
      <c r="S487" s="26"/>
      <c r="T487" s="31"/>
      <c r="U487" s="26"/>
      <c r="V487" s="26">
        <f t="shared" si="42"/>
        <v>1</v>
      </c>
      <c r="W487" s="26">
        <f t="shared" si="48"/>
        <v>0</v>
      </c>
      <c r="X487" s="26">
        <f>Data_Base[[#This Row],[B.N Total]]-Data_Base[[#This Row],[Nbre Brachements exécuté]]</f>
        <v>1</v>
      </c>
      <c r="Y487" s="26" t="str">
        <f t="shared" si="43"/>
        <v>vendredi</v>
      </c>
      <c r="Z487" s="26" t="str">
        <f t="shared" si="44"/>
        <v>10</v>
      </c>
      <c r="AA487" s="26" t="str">
        <f t="shared" si="47"/>
        <v>05</v>
      </c>
      <c r="AB487" s="26" t="str">
        <f t="shared" si="45"/>
        <v>2024</v>
      </c>
    </row>
    <row r="488" spans="1:28" x14ac:dyDescent="0.25">
      <c r="A488" s="30">
        <v>45422</v>
      </c>
      <c r="B488" s="26" t="s">
        <v>1221</v>
      </c>
      <c r="C488" s="26" t="s">
        <v>2</v>
      </c>
      <c r="D488" s="26" t="s">
        <v>1223</v>
      </c>
      <c r="E488" s="26"/>
      <c r="F488" s="28">
        <v>670864950</v>
      </c>
      <c r="G488" s="26"/>
      <c r="H488" s="26"/>
      <c r="I488" s="26"/>
      <c r="J488" s="30"/>
      <c r="K488" s="26"/>
      <c r="M488" s="30"/>
      <c r="O488" s="26"/>
      <c r="P488" s="31"/>
      <c r="Q488" s="31"/>
      <c r="R488" s="26"/>
      <c r="S488" s="26"/>
      <c r="T488" s="31"/>
      <c r="U488" s="26"/>
      <c r="V488" s="26">
        <f t="shared" si="42"/>
        <v>1</v>
      </c>
      <c r="W488" s="26">
        <f t="shared" si="48"/>
        <v>0</v>
      </c>
      <c r="X488" s="26">
        <f>Data_Base[[#This Row],[B.N Total]]-Data_Base[[#This Row],[Nbre Brachements exécuté]]</f>
        <v>1</v>
      </c>
      <c r="Y488" s="26" t="str">
        <f t="shared" si="43"/>
        <v>vendredi</v>
      </c>
      <c r="Z488" s="26" t="str">
        <f t="shared" si="44"/>
        <v>10</v>
      </c>
      <c r="AA488" s="26" t="str">
        <f t="shared" si="47"/>
        <v>05</v>
      </c>
      <c r="AB488" s="26" t="str">
        <f t="shared" si="45"/>
        <v>2024</v>
      </c>
    </row>
    <row r="489" spans="1:28" x14ac:dyDescent="0.25">
      <c r="A489" s="30">
        <v>45422</v>
      </c>
      <c r="B489" s="26" t="s">
        <v>1224</v>
      </c>
      <c r="C489" s="26" t="s">
        <v>2</v>
      </c>
      <c r="D489" s="26" t="s">
        <v>1225</v>
      </c>
      <c r="E489" s="26"/>
      <c r="F489" s="28">
        <v>696700202</v>
      </c>
      <c r="G489" s="26"/>
      <c r="H489" s="26"/>
      <c r="I489" s="26"/>
      <c r="J489" s="30"/>
      <c r="K489" s="26"/>
      <c r="M489" s="30"/>
      <c r="O489" s="26"/>
      <c r="P489" s="31"/>
      <c r="Q489" s="31"/>
      <c r="R489" s="26"/>
      <c r="S489" s="26"/>
      <c r="T489" s="31"/>
      <c r="U489" s="26"/>
      <c r="V489" s="26">
        <f t="shared" si="42"/>
        <v>1</v>
      </c>
      <c r="W489" s="26">
        <f t="shared" si="48"/>
        <v>0</v>
      </c>
      <c r="X489" s="26">
        <f>Data_Base[[#This Row],[B.N Total]]-Data_Base[[#This Row],[Nbre Brachements exécuté]]</f>
        <v>1</v>
      </c>
      <c r="Y489" s="26" t="str">
        <f t="shared" si="43"/>
        <v>vendredi</v>
      </c>
      <c r="Z489" s="26" t="str">
        <f t="shared" si="44"/>
        <v>10</v>
      </c>
      <c r="AA489" s="26" t="str">
        <f t="shared" si="47"/>
        <v>05</v>
      </c>
      <c r="AB489" s="26" t="str">
        <f t="shared" si="45"/>
        <v>2024</v>
      </c>
    </row>
    <row r="490" spans="1:28" x14ac:dyDescent="0.25">
      <c r="A490" s="30">
        <v>45422</v>
      </c>
      <c r="B490" s="26" t="s">
        <v>1226</v>
      </c>
      <c r="C490" s="26" t="s">
        <v>2</v>
      </c>
      <c r="D490" s="26" t="s">
        <v>1227</v>
      </c>
      <c r="E490" s="26"/>
      <c r="F490" s="28">
        <v>681925494</v>
      </c>
      <c r="G490" s="26"/>
      <c r="H490" s="26"/>
      <c r="I490" s="26"/>
      <c r="J490" s="30"/>
      <c r="K490" s="26"/>
      <c r="M490" s="30"/>
      <c r="O490" s="26"/>
      <c r="P490" s="31"/>
      <c r="Q490" s="31"/>
      <c r="R490" s="26"/>
      <c r="S490" s="26"/>
      <c r="T490" s="31"/>
      <c r="U490" s="26"/>
      <c r="V490" s="26">
        <f t="shared" si="42"/>
        <v>1</v>
      </c>
      <c r="W490" s="26">
        <f t="shared" si="48"/>
        <v>0</v>
      </c>
      <c r="X490" s="26">
        <f>Data_Base[[#This Row],[B.N Total]]-Data_Base[[#This Row],[Nbre Brachements exécuté]]</f>
        <v>1</v>
      </c>
      <c r="Y490" s="26" t="str">
        <f t="shared" si="43"/>
        <v>vendredi</v>
      </c>
      <c r="Z490" s="26" t="str">
        <f t="shared" si="44"/>
        <v>10</v>
      </c>
      <c r="AA490" s="26" t="str">
        <f t="shared" si="47"/>
        <v>05</v>
      </c>
      <c r="AB490" s="26" t="str">
        <f t="shared" si="45"/>
        <v>2024</v>
      </c>
    </row>
    <row r="491" spans="1:28" x14ac:dyDescent="0.25">
      <c r="A491" s="30">
        <v>45422</v>
      </c>
      <c r="B491" s="26" t="s">
        <v>1226</v>
      </c>
      <c r="C491" s="26" t="s">
        <v>2</v>
      </c>
      <c r="D491" s="26" t="s">
        <v>1228</v>
      </c>
      <c r="E491" s="26"/>
      <c r="F491" s="28">
        <v>681925494</v>
      </c>
      <c r="G491" s="26"/>
      <c r="H491" s="26"/>
      <c r="I491" s="26"/>
      <c r="J491" s="30"/>
      <c r="K491" s="26"/>
      <c r="M491" s="30"/>
      <c r="O491" s="26"/>
      <c r="P491" s="31"/>
      <c r="Q491" s="31"/>
      <c r="R491" s="26"/>
      <c r="S491" s="26"/>
      <c r="T491" s="31"/>
      <c r="U491" s="26"/>
      <c r="V491" s="26">
        <f t="shared" si="42"/>
        <v>1</v>
      </c>
      <c r="W491" s="26">
        <f t="shared" ref="W491:W522" si="49">COUNTA(N491)</f>
        <v>0</v>
      </c>
      <c r="X491" s="26">
        <f>Data_Base[[#This Row],[B.N Total]]-Data_Base[[#This Row],[Nbre Brachements exécuté]]</f>
        <v>1</v>
      </c>
      <c r="Y491" s="26" t="str">
        <f t="shared" si="43"/>
        <v>vendredi</v>
      </c>
      <c r="Z491" s="26" t="str">
        <f t="shared" si="44"/>
        <v>10</v>
      </c>
      <c r="AA491" s="26" t="str">
        <f t="shared" si="47"/>
        <v>05</v>
      </c>
      <c r="AB491" s="26" t="str">
        <f t="shared" si="45"/>
        <v>2024</v>
      </c>
    </row>
    <row r="492" spans="1:28" x14ac:dyDescent="0.25">
      <c r="A492" s="30">
        <v>45422</v>
      </c>
      <c r="B492" s="26" t="s">
        <v>1226</v>
      </c>
      <c r="C492" s="26" t="s">
        <v>2</v>
      </c>
      <c r="D492" s="26" t="s">
        <v>1229</v>
      </c>
      <c r="E492" s="26"/>
      <c r="F492" s="28">
        <v>681925494</v>
      </c>
      <c r="G492" s="26"/>
      <c r="H492" s="26"/>
      <c r="I492" s="26"/>
      <c r="J492" s="30"/>
      <c r="K492" s="26"/>
      <c r="M492" s="30"/>
      <c r="O492" s="26"/>
      <c r="P492" s="31"/>
      <c r="Q492" s="31"/>
      <c r="R492" s="26"/>
      <c r="S492" s="26"/>
      <c r="T492" s="31"/>
      <c r="U492" s="26"/>
      <c r="V492" s="26">
        <f t="shared" si="42"/>
        <v>1</v>
      </c>
      <c r="W492" s="26">
        <f t="shared" si="49"/>
        <v>0</v>
      </c>
      <c r="X492" s="26">
        <f>Data_Base[[#This Row],[B.N Total]]-Data_Base[[#This Row],[Nbre Brachements exécuté]]</f>
        <v>1</v>
      </c>
      <c r="Y492" s="26" t="str">
        <f t="shared" si="43"/>
        <v>vendredi</v>
      </c>
      <c r="Z492" s="26" t="str">
        <f t="shared" si="44"/>
        <v>10</v>
      </c>
      <c r="AA492" s="26" t="str">
        <f t="shared" si="47"/>
        <v>05</v>
      </c>
      <c r="AB492" s="26" t="str">
        <f t="shared" si="45"/>
        <v>2024</v>
      </c>
    </row>
    <row r="493" spans="1:28" x14ac:dyDescent="0.25">
      <c r="A493" s="30">
        <v>45422</v>
      </c>
      <c r="B493" s="26" t="s">
        <v>1226</v>
      </c>
      <c r="C493" s="26" t="s">
        <v>2</v>
      </c>
      <c r="D493" s="26" t="s">
        <v>1230</v>
      </c>
      <c r="E493" s="26"/>
      <c r="F493" s="28">
        <v>681925494</v>
      </c>
      <c r="G493" s="26"/>
      <c r="H493" s="26"/>
      <c r="I493" s="26"/>
      <c r="J493" s="30"/>
      <c r="K493" s="26"/>
      <c r="M493" s="30"/>
      <c r="O493" s="26"/>
      <c r="P493" s="31"/>
      <c r="Q493" s="31"/>
      <c r="R493" s="26"/>
      <c r="S493" s="26"/>
      <c r="T493" s="31"/>
      <c r="U493" s="26"/>
      <c r="V493" s="26">
        <f t="shared" si="42"/>
        <v>1</v>
      </c>
      <c r="W493" s="26">
        <f t="shared" si="49"/>
        <v>0</v>
      </c>
      <c r="X493" s="26">
        <f>Data_Base[[#This Row],[B.N Total]]-Data_Base[[#This Row],[Nbre Brachements exécuté]]</f>
        <v>1</v>
      </c>
      <c r="Y493" s="26" t="str">
        <f t="shared" si="43"/>
        <v>vendredi</v>
      </c>
      <c r="Z493" s="26" t="str">
        <f t="shared" si="44"/>
        <v>10</v>
      </c>
      <c r="AA493" s="26" t="str">
        <f t="shared" si="47"/>
        <v>05</v>
      </c>
      <c r="AB493" s="26" t="str">
        <f t="shared" si="45"/>
        <v>2024</v>
      </c>
    </row>
    <row r="494" spans="1:28" x14ac:dyDescent="0.25">
      <c r="A494" s="30">
        <v>45422</v>
      </c>
      <c r="B494" s="26" t="s">
        <v>1231</v>
      </c>
      <c r="C494" s="26" t="s">
        <v>3</v>
      </c>
      <c r="D494" s="26" t="s">
        <v>1232</v>
      </c>
      <c r="E494" s="26"/>
      <c r="F494" s="28">
        <v>691770001</v>
      </c>
      <c r="G494" s="26"/>
      <c r="H494" s="26"/>
      <c r="I494" s="26"/>
      <c r="J494" s="30"/>
      <c r="K494" s="26"/>
      <c r="M494" s="30"/>
      <c r="O494" s="26"/>
      <c r="P494" s="31"/>
      <c r="Q494" s="31"/>
      <c r="R494" s="26"/>
      <c r="S494" s="26"/>
      <c r="T494" s="31"/>
      <c r="U494" s="26"/>
      <c r="V494" s="26">
        <f t="shared" si="42"/>
        <v>1</v>
      </c>
      <c r="W494" s="26">
        <f t="shared" si="49"/>
        <v>0</v>
      </c>
      <c r="X494" s="26">
        <f>Data_Base[[#This Row],[B.N Total]]-Data_Base[[#This Row],[Nbre Brachements exécuté]]</f>
        <v>1</v>
      </c>
      <c r="Y494" s="26" t="str">
        <f t="shared" si="43"/>
        <v>vendredi</v>
      </c>
      <c r="Z494" s="26" t="str">
        <f t="shared" si="44"/>
        <v>10</v>
      </c>
      <c r="AA494" s="26" t="str">
        <f t="shared" si="47"/>
        <v>05</v>
      </c>
      <c r="AB494" s="26" t="str">
        <f t="shared" si="45"/>
        <v>2024</v>
      </c>
    </row>
    <row r="495" spans="1:28" x14ac:dyDescent="0.25">
      <c r="A495" s="30">
        <v>45422</v>
      </c>
      <c r="B495" s="26" t="s">
        <v>1233</v>
      </c>
      <c r="C495" s="26" t="s">
        <v>2</v>
      </c>
      <c r="D495" s="26" t="s">
        <v>1234</v>
      </c>
      <c r="E495" s="26"/>
      <c r="F495" s="28">
        <v>694360066</v>
      </c>
      <c r="G495" s="26" t="s">
        <v>160</v>
      </c>
      <c r="H495" s="26" t="s">
        <v>325</v>
      </c>
      <c r="I495" s="26" t="s">
        <v>579</v>
      </c>
      <c r="J495" s="30"/>
      <c r="K495" s="26"/>
      <c r="M495" s="30"/>
      <c r="O495" s="26"/>
      <c r="P495" s="31"/>
      <c r="Q495" s="31"/>
      <c r="R495" s="26"/>
      <c r="S495" s="26"/>
      <c r="T495" s="31"/>
      <c r="U495" s="26"/>
      <c r="V495" s="26">
        <f t="shared" si="42"/>
        <v>1</v>
      </c>
      <c r="W495" s="26">
        <f t="shared" si="49"/>
        <v>0</v>
      </c>
      <c r="X495" s="26">
        <f>Data_Base[[#This Row],[B.N Total]]-Data_Base[[#This Row],[Nbre Brachements exécuté]]</f>
        <v>1</v>
      </c>
      <c r="Y495" s="26" t="str">
        <f t="shared" si="43"/>
        <v>vendredi</v>
      </c>
      <c r="Z495" s="26" t="str">
        <f t="shared" si="44"/>
        <v>10</v>
      </c>
      <c r="AA495" s="26" t="str">
        <f t="shared" si="47"/>
        <v>05</v>
      </c>
      <c r="AB495" s="26" t="str">
        <f t="shared" si="45"/>
        <v>2024</v>
      </c>
    </row>
    <row r="496" spans="1:28" x14ac:dyDescent="0.25">
      <c r="A496" s="30">
        <v>45422</v>
      </c>
      <c r="B496" s="26" t="s">
        <v>1235</v>
      </c>
      <c r="C496" s="26" t="s">
        <v>2</v>
      </c>
      <c r="D496" s="26" t="s">
        <v>1236</v>
      </c>
      <c r="E496" s="26"/>
      <c r="F496" s="28">
        <v>696893992</v>
      </c>
      <c r="G496" s="26"/>
      <c r="H496" s="26"/>
      <c r="I496" s="26"/>
      <c r="J496" s="30"/>
      <c r="K496" s="26"/>
      <c r="M496" s="30"/>
      <c r="O496" s="26"/>
      <c r="P496" s="31"/>
      <c r="Q496" s="31"/>
      <c r="R496" s="26"/>
      <c r="S496" s="26"/>
      <c r="T496" s="31"/>
      <c r="U496" s="26"/>
      <c r="V496" s="26">
        <f t="shared" si="42"/>
        <v>1</v>
      </c>
      <c r="W496" s="26">
        <f t="shared" si="49"/>
        <v>0</v>
      </c>
      <c r="X496" s="26">
        <f>Data_Base[[#This Row],[B.N Total]]-Data_Base[[#This Row],[Nbre Brachements exécuté]]</f>
        <v>1</v>
      </c>
      <c r="Y496" s="26" t="str">
        <f t="shared" si="43"/>
        <v>vendredi</v>
      </c>
      <c r="Z496" s="26" t="str">
        <f t="shared" si="44"/>
        <v>10</v>
      </c>
      <c r="AA496" s="26" t="str">
        <f t="shared" si="47"/>
        <v>05</v>
      </c>
      <c r="AB496" s="26" t="str">
        <f t="shared" si="45"/>
        <v>2024</v>
      </c>
    </row>
    <row r="497" spans="1:28" x14ac:dyDescent="0.25">
      <c r="A497" s="30">
        <v>45422</v>
      </c>
      <c r="B497" s="26" t="s">
        <v>1237</v>
      </c>
      <c r="C497" s="26" t="s">
        <v>2</v>
      </c>
      <c r="D497" s="26" t="s">
        <v>1238</v>
      </c>
      <c r="E497" s="26"/>
      <c r="F497" s="28">
        <v>696012697</v>
      </c>
      <c r="G497" s="26"/>
      <c r="H497" s="26"/>
      <c r="I497" s="26"/>
      <c r="J497" s="30"/>
      <c r="K497" s="26"/>
      <c r="M497" s="30"/>
      <c r="O497" s="26"/>
      <c r="P497" s="31"/>
      <c r="Q497" s="31"/>
      <c r="R497" s="26"/>
      <c r="S497" s="26"/>
      <c r="T497" s="31"/>
      <c r="U497" s="26"/>
      <c r="V497" s="26">
        <f t="shared" si="42"/>
        <v>1</v>
      </c>
      <c r="W497" s="26">
        <f t="shared" si="49"/>
        <v>0</v>
      </c>
      <c r="X497" s="26">
        <f>Data_Base[[#This Row],[B.N Total]]-Data_Base[[#This Row],[Nbre Brachements exécuté]]</f>
        <v>1</v>
      </c>
      <c r="Y497" s="26" t="str">
        <f t="shared" si="43"/>
        <v>vendredi</v>
      </c>
      <c r="Z497" s="26" t="str">
        <f t="shared" si="44"/>
        <v>10</v>
      </c>
      <c r="AA497" s="26" t="str">
        <f t="shared" si="47"/>
        <v>05</v>
      </c>
      <c r="AB497" s="26" t="str">
        <f t="shared" si="45"/>
        <v>2024</v>
      </c>
    </row>
    <row r="498" spans="1:28" x14ac:dyDescent="0.25">
      <c r="A498" s="30">
        <v>45422</v>
      </c>
      <c r="B498" s="26" t="s">
        <v>1239</v>
      </c>
      <c r="C498" s="26" t="s">
        <v>2</v>
      </c>
      <c r="D498" s="26" t="s">
        <v>1240</v>
      </c>
      <c r="E498" s="26"/>
      <c r="F498" s="28">
        <v>677546222</v>
      </c>
      <c r="G498" s="26"/>
      <c r="H498" s="26"/>
      <c r="I498" s="26"/>
      <c r="J498" s="30"/>
      <c r="K498" s="26"/>
      <c r="M498" s="30"/>
      <c r="O498" s="26"/>
      <c r="P498" s="31"/>
      <c r="Q498" s="31"/>
      <c r="R498" s="26"/>
      <c r="S498" s="26"/>
      <c r="T498" s="31"/>
      <c r="U498" s="26"/>
      <c r="V498" s="26">
        <f t="shared" si="42"/>
        <v>1</v>
      </c>
      <c r="W498" s="26">
        <f t="shared" si="49"/>
        <v>0</v>
      </c>
      <c r="X498" s="26">
        <f>Data_Base[[#This Row],[B.N Total]]-Data_Base[[#This Row],[Nbre Brachements exécuté]]</f>
        <v>1</v>
      </c>
      <c r="Y498" s="26" t="str">
        <f t="shared" si="43"/>
        <v>vendredi</v>
      </c>
      <c r="Z498" s="26" t="str">
        <f t="shared" si="44"/>
        <v>10</v>
      </c>
      <c r="AA498" s="26" t="str">
        <f t="shared" si="47"/>
        <v>05</v>
      </c>
      <c r="AB498" s="26" t="str">
        <f t="shared" si="45"/>
        <v>2024</v>
      </c>
    </row>
    <row r="499" spans="1:28" x14ac:dyDescent="0.25">
      <c r="A499" s="30">
        <v>45422</v>
      </c>
      <c r="B499" s="26" t="s">
        <v>1241</v>
      </c>
      <c r="C499" s="26" t="s">
        <v>2</v>
      </c>
      <c r="D499" s="26" t="s">
        <v>1242</v>
      </c>
      <c r="E499" s="26"/>
      <c r="F499" s="28">
        <v>694579400</v>
      </c>
      <c r="G499" s="26"/>
      <c r="H499" s="26"/>
      <c r="I499" s="26"/>
      <c r="J499" s="30"/>
      <c r="K499" s="26"/>
      <c r="M499" s="30"/>
      <c r="O499" s="26"/>
      <c r="P499" s="31"/>
      <c r="Q499" s="31"/>
      <c r="R499" s="26"/>
      <c r="S499" s="26"/>
      <c r="T499" s="31"/>
      <c r="U499" s="26"/>
      <c r="V499" s="26">
        <f t="shared" si="42"/>
        <v>1</v>
      </c>
      <c r="W499" s="26">
        <f t="shared" si="49"/>
        <v>0</v>
      </c>
      <c r="X499" s="26">
        <f>Data_Base[[#This Row],[B.N Total]]-Data_Base[[#This Row],[Nbre Brachements exécuté]]</f>
        <v>1</v>
      </c>
      <c r="Y499" s="26" t="str">
        <f t="shared" si="43"/>
        <v>vendredi</v>
      </c>
      <c r="Z499" s="26" t="str">
        <f t="shared" si="44"/>
        <v>10</v>
      </c>
      <c r="AA499" s="26" t="str">
        <f t="shared" si="47"/>
        <v>05</v>
      </c>
      <c r="AB499" s="26" t="str">
        <f t="shared" si="45"/>
        <v>2024</v>
      </c>
    </row>
    <row r="500" spans="1:28" x14ac:dyDescent="0.25">
      <c r="A500" s="30">
        <v>45422</v>
      </c>
      <c r="B500" s="26" t="s">
        <v>1243</v>
      </c>
      <c r="C500" s="26" t="s">
        <v>2</v>
      </c>
      <c r="D500" s="26" t="s">
        <v>1244</v>
      </c>
      <c r="E500" s="26"/>
      <c r="F500" s="28">
        <v>699918334</v>
      </c>
      <c r="G500" s="26"/>
      <c r="H500" s="26"/>
      <c r="I500" s="26"/>
      <c r="J500" s="30"/>
      <c r="K500" s="26"/>
      <c r="M500" s="30"/>
      <c r="O500" s="26"/>
      <c r="P500" s="31"/>
      <c r="Q500" s="31"/>
      <c r="R500" s="26"/>
      <c r="S500" s="26"/>
      <c r="T500" s="31"/>
      <c r="U500" s="26"/>
      <c r="V500" s="26">
        <f t="shared" si="42"/>
        <v>1</v>
      </c>
      <c r="W500" s="26">
        <f t="shared" si="49"/>
        <v>0</v>
      </c>
      <c r="X500" s="26">
        <f>Data_Base[[#This Row],[B.N Total]]-Data_Base[[#This Row],[Nbre Brachements exécuté]]</f>
        <v>1</v>
      </c>
      <c r="Y500" s="26" t="str">
        <f t="shared" si="43"/>
        <v>vendredi</v>
      </c>
      <c r="Z500" s="26" t="str">
        <f t="shared" si="44"/>
        <v>10</v>
      </c>
      <c r="AA500" s="26" t="str">
        <f t="shared" si="47"/>
        <v>05</v>
      </c>
      <c r="AB500" s="26" t="str">
        <f t="shared" si="45"/>
        <v>2024</v>
      </c>
    </row>
    <row r="501" spans="1:28" x14ac:dyDescent="0.25">
      <c r="A501" s="30">
        <v>45422</v>
      </c>
      <c r="B501" s="26" t="s">
        <v>1245</v>
      </c>
      <c r="C501" s="26" t="s">
        <v>2</v>
      </c>
      <c r="D501" s="26" t="s">
        <v>1246</v>
      </c>
      <c r="E501" s="26"/>
      <c r="F501" s="28">
        <v>675481396</v>
      </c>
      <c r="G501" s="26"/>
      <c r="H501" s="26"/>
      <c r="I501" s="26"/>
      <c r="J501" s="30"/>
      <c r="K501" s="26"/>
      <c r="M501" s="30"/>
      <c r="O501" s="26"/>
      <c r="P501" s="31"/>
      <c r="Q501" s="31"/>
      <c r="R501" s="26"/>
      <c r="S501" s="26"/>
      <c r="T501" s="31"/>
      <c r="U501" s="26"/>
      <c r="V501" s="26">
        <f t="shared" si="42"/>
        <v>1</v>
      </c>
      <c r="W501" s="26">
        <f t="shared" si="49"/>
        <v>0</v>
      </c>
      <c r="X501" s="26">
        <f>Data_Base[[#This Row],[B.N Total]]-Data_Base[[#This Row],[Nbre Brachements exécuté]]</f>
        <v>1</v>
      </c>
      <c r="Y501" s="26" t="str">
        <f t="shared" si="43"/>
        <v>vendredi</v>
      </c>
      <c r="Z501" s="26" t="str">
        <f t="shared" si="44"/>
        <v>10</v>
      </c>
      <c r="AA501" s="26" t="str">
        <f t="shared" si="47"/>
        <v>05</v>
      </c>
      <c r="AB501" s="26" t="str">
        <f t="shared" si="45"/>
        <v>2024</v>
      </c>
    </row>
    <row r="502" spans="1:28" x14ac:dyDescent="0.25">
      <c r="A502" s="30">
        <v>45422</v>
      </c>
      <c r="B502" s="26" t="s">
        <v>1247</v>
      </c>
      <c r="C502" s="26" t="s">
        <v>2</v>
      </c>
      <c r="D502" s="26" t="s">
        <v>1248</v>
      </c>
      <c r="E502" s="26"/>
      <c r="F502" s="28">
        <v>690078941</v>
      </c>
      <c r="G502" s="26"/>
      <c r="H502" s="26"/>
      <c r="I502" s="26"/>
      <c r="J502" s="30"/>
      <c r="K502" s="26"/>
      <c r="M502" s="30"/>
      <c r="O502" s="26"/>
      <c r="P502" s="31"/>
      <c r="Q502" s="31"/>
      <c r="R502" s="26"/>
      <c r="S502" s="26"/>
      <c r="T502" s="31"/>
      <c r="U502" s="26"/>
      <c r="V502" s="26">
        <f t="shared" si="42"/>
        <v>1</v>
      </c>
      <c r="W502" s="26">
        <f t="shared" si="49"/>
        <v>0</v>
      </c>
      <c r="X502" s="26">
        <f>Data_Base[[#This Row],[B.N Total]]-Data_Base[[#This Row],[Nbre Brachements exécuté]]</f>
        <v>1</v>
      </c>
      <c r="Y502" s="26" t="str">
        <f t="shared" si="43"/>
        <v>vendredi</v>
      </c>
      <c r="Z502" s="26" t="str">
        <f t="shared" si="44"/>
        <v>10</v>
      </c>
      <c r="AA502" s="26" t="str">
        <f t="shared" si="47"/>
        <v>05</v>
      </c>
      <c r="AB502" s="26" t="str">
        <f t="shared" si="45"/>
        <v>2024</v>
      </c>
    </row>
    <row r="503" spans="1:28" x14ac:dyDescent="0.25">
      <c r="A503" s="30">
        <v>45422</v>
      </c>
      <c r="B503" s="26" t="s">
        <v>1249</v>
      </c>
      <c r="C503" s="26" t="s">
        <v>2</v>
      </c>
      <c r="D503" s="26" t="s">
        <v>1250</v>
      </c>
      <c r="E503" s="26"/>
      <c r="F503" s="28">
        <v>693845137</v>
      </c>
      <c r="G503" s="26"/>
      <c r="H503" s="26"/>
      <c r="I503" s="26"/>
      <c r="J503" s="30"/>
      <c r="K503" s="26"/>
      <c r="M503" s="30"/>
      <c r="O503" s="26"/>
      <c r="P503" s="31"/>
      <c r="Q503" s="31"/>
      <c r="R503" s="26"/>
      <c r="S503" s="26"/>
      <c r="T503" s="31"/>
      <c r="U503" s="26"/>
      <c r="V503" s="26">
        <f t="shared" si="42"/>
        <v>1</v>
      </c>
      <c r="W503" s="26">
        <f t="shared" si="49"/>
        <v>0</v>
      </c>
      <c r="X503" s="26">
        <f>Data_Base[[#This Row],[B.N Total]]-Data_Base[[#This Row],[Nbre Brachements exécuté]]</f>
        <v>1</v>
      </c>
      <c r="Y503" s="26" t="str">
        <f t="shared" si="43"/>
        <v>vendredi</v>
      </c>
      <c r="Z503" s="26" t="str">
        <f t="shared" si="44"/>
        <v>10</v>
      </c>
      <c r="AA503" s="26" t="str">
        <f t="shared" si="47"/>
        <v>05</v>
      </c>
      <c r="AB503" s="26" t="str">
        <f t="shared" si="45"/>
        <v>2024</v>
      </c>
    </row>
    <row r="504" spans="1:28" x14ac:dyDescent="0.25">
      <c r="A504" s="30">
        <v>45422</v>
      </c>
      <c r="B504" s="26" t="s">
        <v>1251</v>
      </c>
      <c r="C504" s="26" t="s">
        <v>2</v>
      </c>
      <c r="D504" s="26" t="s">
        <v>1252</v>
      </c>
      <c r="E504" s="26"/>
      <c r="F504" s="28">
        <v>696360917</v>
      </c>
      <c r="G504" s="26"/>
      <c r="H504" s="26"/>
      <c r="I504" s="26"/>
      <c r="J504" s="30"/>
      <c r="K504" s="26"/>
      <c r="M504" s="30"/>
      <c r="O504" s="26"/>
      <c r="P504" s="31"/>
      <c r="Q504" s="31"/>
      <c r="R504" s="26"/>
      <c r="S504" s="26"/>
      <c r="T504" s="31"/>
      <c r="U504" s="26"/>
      <c r="V504" s="26">
        <f t="shared" si="42"/>
        <v>1</v>
      </c>
      <c r="W504" s="26">
        <f t="shared" si="49"/>
        <v>0</v>
      </c>
      <c r="X504" s="26">
        <f>Data_Base[[#This Row],[B.N Total]]-Data_Base[[#This Row],[Nbre Brachements exécuté]]</f>
        <v>1</v>
      </c>
      <c r="Y504" s="26" t="str">
        <f t="shared" si="43"/>
        <v>vendredi</v>
      </c>
      <c r="Z504" s="26" t="str">
        <f t="shared" si="44"/>
        <v>10</v>
      </c>
      <c r="AA504" s="26" t="str">
        <f t="shared" si="47"/>
        <v>05</v>
      </c>
      <c r="AB504" s="26" t="str">
        <f t="shared" si="45"/>
        <v>2024</v>
      </c>
    </row>
    <row r="505" spans="1:28" x14ac:dyDescent="0.25">
      <c r="A505" s="30">
        <v>45422</v>
      </c>
      <c r="B505" s="26" t="s">
        <v>1253</v>
      </c>
      <c r="C505" s="26" t="s">
        <v>2</v>
      </c>
      <c r="D505" s="26" t="s">
        <v>1254</v>
      </c>
      <c r="E505" s="26"/>
      <c r="F505" s="28">
        <v>695554075</v>
      </c>
      <c r="G505" s="26"/>
      <c r="H505" s="26"/>
      <c r="I505" s="26"/>
      <c r="J505" s="30"/>
      <c r="K505" s="26"/>
      <c r="M505" s="30"/>
      <c r="O505" s="26"/>
      <c r="P505" s="31"/>
      <c r="Q505" s="31"/>
      <c r="R505" s="26"/>
      <c r="S505" s="26"/>
      <c r="T505" s="31"/>
      <c r="U505" s="26"/>
      <c r="V505" s="26">
        <f t="shared" si="42"/>
        <v>1</v>
      </c>
      <c r="W505" s="26">
        <f t="shared" si="49"/>
        <v>0</v>
      </c>
      <c r="X505" s="26">
        <f>Data_Base[[#This Row],[B.N Total]]-Data_Base[[#This Row],[Nbre Brachements exécuté]]</f>
        <v>1</v>
      </c>
      <c r="Y505" s="26" t="str">
        <f t="shared" si="43"/>
        <v>vendredi</v>
      </c>
      <c r="Z505" s="26" t="str">
        <f t="shared" si="44"/>
        <v>10</v>
      </c>
      <c r="AA505" s="26" t="str">
        <f t="shared" si="47"/>
        <v>05</v>
      </c>
      <c r="AB505" s="26" t="str">
        <f t="shared" si="45"/>
        <v>2024</v>
      </c>
    </row>
    <row r="506" spans="1:28" x14ac:dyDescent="0.25">
      <c r="A506" s="30">
        <v>45422</v>
      </c>
      <c r="B506" s="26" t="s">
        <v>1255</v>
      </c>
      <c r="C506" s="26" t="s">
        <v>2</v>
      </c>
      <c r="D506" s="26" t="s">
        <v>1256</v>
      </c>
      <c r="E506" s="26"/>
      <c r="F506" s="28">
        <v>696849080</v>
      </c>
      <c r="G506" s="26"/>
      <c r="H506" s="26"/>
      <c r="I506" s="26"/>
      <c r="J506" s="30"/>
      <c r="K506" s="26"/>
      <c r="M506" s="30"/>
      <c r="O506" s="26"/>
      <c r="P506" s="31"/>
      <c r="Q506" s="31"/>
      <c r="R506" s="26"/>
      <c r="S506" s="26"/>
      <c r="T506" s="31"/>
      <c r="U506" s="26"/>
      <c r="V506" s="26">
        <f t="shared" si="42"/>
        <v>1</v>
      </c>
      <c r="W506" s="26">
        <f t="shared" si="49"/>
        <v>0</v>
      </c>
      <c r="X506" s="26">
        <f>Data_Base[[#This Row],[B.N Total]]-Data_Base[[#This Row],[Nbre Brachements exécuté]]</f>
        <v>1</v>
      </c>
      <c r="Y506" s="26" t="str">
        <f t="shared" si="43"/>
        <v>vendredi</v>
      </c>
      <c r="Z506" s="26" t="str">
        <f t="shared" si="44"/>
        <v>10</v>
      </c>
      <c r="AA506" s="26" t="str">
        <f t="shared" si="47"/>
        <v>05</v>
      </c>
      <c r="AB506" s="26" t="str">
        <f t="shared" si="45"/>
        <v>2024</v>
      </c>
    </row>
    <row r="507" spans="1:28" x14ac:dyDescent="0.25">
      <c r="A507" s="30">
        <v>45422</v>
      </c>
      <c r="B507" s="26" t="s">
        <v>1255</v>
      </c>
      <c r="C507" s="26" t="s">
        <v>2</v>
      </c>
      <c r="D507" s="26" t="s">
        <v>1257</v>
      </c>
      <c r="E507" s="26"/>
      <c r="F507" s="28">
        <v>696849080</v>
      </c>
      <c r="G507" s="26"/>
      <c r="H507" s="26"/>
      <c r="I507" s="26"/>
      <c r="J507" s="30"/>
      <c r="K507" s="26"/>
      <c r="M507" s="30"/>
      <c r="O507" s="26"/>
      <c r="P507" s="31"/>
      <c r="Q507" s="31"/>
      <c r="R507" s="26"/>
      <c r="S507" s="26"/>
      <c r="T507" s="31"/>
      <c r="U507" s="26"/>
      <c r="V507" s="26">
        <f t="shared" si="42"/>
        <v>1</v>
      </c>
      <c r="W507" s="26">
        <f t="shared" si="49"/>
        <v>0</v>
      </c>
      <c r="X507" s="26">
        <f>Data_Base[[#This Row],[B.N Total]]-Data_Base[[#This Row],[Nbre Brachements exécuté]]</f>
        <v>1</v>
      </c>
      <c r="Y507" s="26" t="str">
        <f t="shared" si="43"/>
        <v>vendredi</v>
      </c>
      <c r="Z507" s="26" t="str">
        <f t="shared" si="44"/>
        <v>10</v>
      </c>
      <c r="AA507" s="26" t="str">
        <f t="shared" si="47"/>
        <v>05</v>
      </c>
      <c r="AB507" s="26" t="str">
        <f t="shared" si="45"/>
        <v>2024</v>
      </c>
    </row>
    <row r="508" spans="1:28" x14ac:dyDescent="0.25">
      <c r="A508" s="30">
        <v>45422</v>
      </c>
      <c r="B508" s="26" t="s">
        <v>1258</v>
      </c>
      <c r="C508" s="26" t="s">
        <v>2</v>
      </c>
      <c r="D508" s="26" t="s">
        <v>1259</v>
      </c>
      <c r="E508" s="26"/>
      <c r="F508" s="28">
        <v>674332488</v>
      </c>
      <c r="G508" s="26"/>
      <c r="H508" s="26"/>
      <c r="I508" s="26"/>
      <c r="J508" s="30"/>
      <c r="K508" s="26"/>
      <c r="M508" s="30"/>
      <c r="O508" s="26"/>
      <c r="P508" s="31"/>
      <c r="Q508" s="31"/>
      <c r="R508" s="26"/>
      <c r="S508" s="26"/>
      <c r="T508" s="31"/>
      <c r="U508" s="26"/>
      <c r="V508" s="26">
        <f t="shared" si="42"/>
        <v>1</v>
      </c>
      <c r="W508" s="26">
        <f t="shared" si="49"/>
        <v>0</v>
      </c>
      <c r="X508" s="26">
        <f>Data_Base[[#This Row],[B.N Total]]-Data_Base[[#This Row],[Nbre Brachements exécuté]]</f>
        <v>1</v>
      </c>
      <c r="Y508" s="26" t="str">
        <f t="shared" si="43"/>
        <v>vendredi</v>
      </c>
      <c r="Z508" s="26" t="str">
        <f t="shared" si="44"/>
        <v>10</v>
      </c>
      <c r="AA508" s="26" t="str">
        <f t="shared" si="47"/>
        <v>05</v>
      </c>
      <c r="AB508" s="26" t="str">
        <f t="shared" si="45"/>
        <v>2024</v>
      </c>
    </row>
    <row r="509" spans="1:28" x14ac:dyDescent="0.25">
      <c r="A509" s="30">
        <v>45422</v>
      </c>
      <c r="B509" s="26" t="s">
        <v>1258</v>
      </c>
      <c r="C509" s="26" t="s">
        <v>2</v>
      </c>
      <c r="D509" s="26" t="s">
        <v>1260</v>
      </c>
      <c r="E509" s="26"/>
      <c r="F509" s="28">
        <v>674332488</v>
      </c>
      <c r="G509" s="26"/>
      <c r="H509" s="26"/>
      <c r="I509" s="26"/>
      <c r="J509" s="30"/>
      <c r="K509" s="26"/>
      <c r="M509" s="30"/>
      <c r="O509" s="26"/>
      <c r="P509" s="31"/>
      <c r="Q509" s="31"/>
      <c r="R509" s="26"/>
      <c r="S509" s="26"/>
      <c r="T509" s="31"/>
      <c r="U509" s="26"/>
      <c r="V509" s="26">
        <f t="shared" si="42"/>
        <v>1</v>
      </c>
      <c r="W509" s="26">
        <f t="shared" si="49"/>
        <v>0</v>
      </c>
      <c r="X509" s="26">
        <f>Data_Base[[#This Row],[B.N Total]]-Data_Base[[#This Row],[Nbre Brachements exécuté]]</f>
        <v>1</v>
      </c>
      <c r="Y509" s="26" t="str">
        <f t="shared" si="43"/>
        <v>vendredi</v>
      </c>
      <c r="Z509" s="26" t="str">
        <f t="shared" si="44"/>
        <v>10</v>
      </c>
      <c r="AA509" s="26" t="str">
        <f t="shared" si="47"/>
        <v>05</v>
      </c>
      <c r="AB509" s="26" t="str">
        <f t="shared" si="45"/>
        <v>2024</v>
      </c>
    </row>
    <row r="510" spans="1:28" x14ac:dyDescent="0.25">
      <c r="A510" s="30">
        <v>45422</v>
      </c>
      <c r="B510" s="26" t="s">
        <v>1258</v>
      </c>
      <c r="C510" s="26" t="s">
        <v>2</v>
      </c>
      <c r="D510" s="26" t="s">
        <v>1261</v>
      </c>
      <c r="E510" s="26"/>
      <c r="F510" s="28">
        <v>674332488</v>
      </c>
      <c r="G510" s="26"/>
      <c r="H510" s="26"/>
      <c r="I510" s="26"/>
      <c r="J510" s="30"/>
      <c r="K510" s="26"/>
      <c r="M510" s="30"/>
      <c r="O510" s="26"/>
      <c r="P510" s="31"/>
      <c r="Q510" s="31"/>
      <c r="R510" s="26"/>
      <c r="S510" s="26"/>
      <c r="T510" s="31"/>
      <c r="U510" s="26"/>
      <c r="V510" s="26">
        <f t="shared" si="42"/>
        <v>1</v>
      </c>
      <c r="W510" s="26">
        <f t="shared" si="49"/>
        <v>0</v>
      </c>
      <c r="X510" s="26">
        <f>Data_Base[[#This Row],[B.N Total]]-Data_Base[[#This Row],[Nbre Brachements exécuté]]</f>
        <v>1</v>
      </c>
      <c r="Y510" s="26" t="str">
        <f t="shared" si="43"/>
        <v>vendredi</v>
      </c>
      <c r="Z510" s="26" t="str">
        <f t="shared" si="44"/>
        <v>10</v>
      </c>
      <c r="AA510" s="26" t="str">
        <f t="shared" si="47"/>
        <v>05</v>
      </c>
      <c r="AB510" s="26" t="str">
        <f t="shared" si="45"/>
        <v>2024</v>
      </c>
    </row>
    <row r="511" spans="1:28" x14ac:dyDescent="0.25">
      <c r="A511" s="30">
        <v>45422</v>
      </c>
      <c r="B511" s="26" t="s">
        <v>1258</v>
      </c>
      <c r="C511" s="26" t="s">
        <v>2</v>
      </c>
      <c r="D511" s="26" t="s">
        <v>1262</v>
      </c>
      <c r="E511" s="26"/>
      <c r="F511" s="28">
        <v>674332488</v>
      </c>
      <c r="G511" s="26"/>
      <c r="H511" s="26"/>
      <c r="I511" s="26"/>
      <c r="J511" s="30"/>
      <c r="K511" s="26"/>
      <c r="M511" s="30"/>
      <c r="O511" s="26"/>
      <c r="P511" s="31"/>
      <c r="Q511" s="31"/>
      <c r="R511" s="26"/>
      <c r="S511" s="26"/>
      <c r="T511" s="31"/>
      <c r="U511" s="26"/>
      <c r="V511" s="26">
        <f t="shared" si="42"/>
        <v>1</v>
      </c>
      <c r="W511" s="26">
        <f t="shared" si="49"/>
        <v>0</v>
      </c>
      <c r="X511" s="26">
        <f>Data_Base[[#This Row],[B.N Total]]-Data_Base[[#This Row],[Nbre Brachements exécuté]]</f>
        <v>1</v>
      </c>
      <c r="Y511" s="26" t="str">
        <f t="shared" si="43"/>
        <v>vendredi</v>
      </c>
      <c r="Z511" s="26" t="str">
        <f t="shared" si="44"/>
        <v>10</v>
      </c>
      <c r="AA511" s="26" t="str">
        <f t="shared" si="47"/>
        <v>05</v>
      </c>
      <c r="AB511" s="26" t="str">
        <f t="shared" si="45"/>
        <v>2024</v>
      </c>
    </row>
    <row r="512" spans="1:28" x14ac:dyDescent="0.25">
      <c r="A512" s="30">
        <v>45422</v>
      </c>
      <c r="B512" s="26" t="s">
        <v>1258</v>
      </c>
      <c r="C512" s="26" t="s">
        <v>2</v>
      </c>
      <c r="D512" s="26" t="s">
        <v>1263</v>
      </c>
      <c r="E512" s="26"/>
      <c r="F512" s="28">
        <v>674332488</v>
      </c>
      <c r="G512" s="26"/>
      <c r="H512" s="26"/>
      <c r="I512" s="26"/>
      <c r="J512" s="30"/>
      <c r="K512" s="26"/>
      <c r="M512" s="30"/>
      <c r="O512" s="26"/>
      <c r="P512" s="31"/>
      <c r="Q512" s="31"/>
      <c r="R512" s="26"/>
      <c r="S512" s="26"/>
      <c r="T512" s="31"/>
      <c r="U512" s="26"/>
      <c r="V512" s="26">
        <f t="shared" si="42"/>
        <v>1</v>
      </c>
      <c r="W512" s="26">
        <f t="shared" si="49"/>
        <v>0</v>
      </c>
      <c r="X512" s="26">
        <f>Data_Base[[#This Row],[B.N Total]]-Data_Base[[#This Row],[Nbre Brachements exécuté]]</f>
        <v>1</v>
      </c>
      <c r="Y512" s="26" t="str">
        <f t="shared" si="43"/>
        <v>vendredi</v>
      </c>
      <c r="Z512" s="26" t="str">
        <f t="shared" si="44"/>
        <v>10</v>
      </c>
      <c r="AA512" s="26" t="str">
        <f t="shared" si="47"/>
        <v>05</v>
      </c>
      <c r="AB512" s="26" t="str">
        <f t="shared" si="45"/>
        <v>2024</v>
      </c>
    </row>
    <row r="513" spans="1:28" x14ac:dyDescent="0.25">
      <c r="A513" s="30">
        <v>45422</v>
      </c>
      <c r="B513" s="26" t="s">
        <v>1258</v>
      </c>
      <c r="C513" s="26" t="s">
        <v>2</v>
      </c>
      <c r="D513" s="26" t="s">
        <v>1264</v>
      </c>
      <c r="E513" s="26"/>
      <c r="F513" s="28">
        <v>674332488</v>
      </c>
      <c r="G513" s="26"/>
      <c r="H513" s="26"/>
      <c r="I513" s="26"/>
      <c r="J513" s="30"/>
      <c r="K513" s="26"/>
      <c r="M513" s="30"/>
      <c r="O513" s="26"/>
      <c r="P513" s="31"/>
      <c r="Q513" s="31"/>
      <c r="R513" s="26"/>
      <c r="S513" s="26"/>
      <c r="T513" s="31"/>
      <c r="U513" s="26"/>
      <c r="V513" s="26">
        <f t="shared" si="42"/>
        <v>1</v>
      </c>
      <c r="W513" s="26">
        <f t="shared" si="49"/>
        <v>0</v>
      </c>
      <c r="X513" s="26">
        <f>Data_Base[[#This Row],[B.N Total]]-Data_Base[[#This Row],[Nbre Brachements exécuté]]</f>
        <v>1</v>
      </c>
      <c r="Y513" s="26" t="str">
        <f t="shared" si="43"/>
        <v>vendredi</v>
      </c>
      <c r="Z513" s="26" t="str">
        <f t="shared" si="44"/>
        <v>10</v>
      </c>
      <c r="AA513" s="26" t="str">
        <f t="shared" si="47"/>
        <v>05</v>
      </c>
      <c r="AB513" s="26" t="str">
        <f t="shared" si="45"/>
        <v>2024</v>
      </c>
    </row>
    <row r="514" spans="1:28" x14ac:dyDescent="0.25">
      <c r="A514" s="30">
        <v>45422</v>
      </c>
      <c r="B514" s="26" t="s">
        <v>1235</v>
      </c>
      <c r="C514" s="26" t="s">
        <v>2</v>
      </c>
      <c r="D514" s="26" t="s">
        <v>1265</v>
      </c>
      <c r="E514" s="26"/>
      <c r="F514" s="28">
        <v>696893992</v>
      </c>
      <c r="G514" s="26"/>
      <c r="H514" s="26"/>
      <c r="I514" s="26"/>
      <c r="J514" s="30"/>
      <c r="K514" s="26"/>
      <c r="M514" s="30"/>
      <c r="O514" s="26"/>
      <c r="P514" s="31"/>
      <c r="Q514" s="31"/>
      <c r="R514" s="26"/>
      <c r="S514" s="26"/>
      <c r="T514" s="31"/>
      <c r="U514" s="26"/>
      <c r="V514" s="26">
        <f t="shared" ref="V514:V562" si="50">COUNTA(B514)</f>
        <v>1</v>
      </c>
      <c r="W514" s="26">
        <f t="shared" si="49"/>
        <v>0</v>
      </c>
      <c r="X514" s="26">
        <f>Data_Base[[#This Row],[B.N Total]]-Data_Base[[#This Row],[Nbre Brachements exécuté]]</f>
        <v>1</v>
      </c>
      <c r="Y514" s="26" t="str">
        <f t="shared" ref="Y514:Y562" si="51">IF(A514=""," ",TEXT(A514,"jjjj"))</f>
        <v>vendredi</v>
      </c>
      <c r="Z514" s="26" t="str">
        <f t="shared" ref="Z514:Z562" si="52">IF(A514="","",TEXT(A514,"jj"))</f>
        <v>10</v>
      </c>
      <c r="AA514" s="26" t="str">
        <f t="shared" si="47"/>
        <v>05</v>
      </c>
      <c r="AB514" s="26" t="str">
        <f t="shared" ref="AB514:AB562" si="53">IF(A514=""," ",TEXT(A514,"aaaa"))</f>
        <v>2024</v>
      </c>
    </row>
    <row r="515" spans="1:28" x14ac:dyDescent="0.25">
      <c r="A515" s="30">
        <v>45422</v>
      </c>
      <c r="B515" s="26" t="s">
        <v>1235</v>
      </c>
      <c r="C515" s="26" t="s">
        <v>2</v>
      </c>
      <c r="D515" s="26" t="s">
        <v>1266</v>
      </c>
      <c r="E515" s="26"/>
      <c r="F515" s="28">
        <v>696893992</v>
      </c>
      <c r="G515" s="26"/>
      <c r="H515" s="26"/>
      <c r="I515" s="26"/>
      <c r="J515" s="30"/>
      <c r="K515" s="26"/>
      <c r="M515" s="30"/>
      <c r="O515" s="26"/>
      <c r="P515" s="31"/>
      <c r="Q515" s="31"/>
      <c r="R515" s="26"/>
      <c r="S515" s="26"/>
      <c r="T515" s="31"/>
      <c r="U515" s="26"/>
      <c r="V515" s="26">
        <f t="shared" si="50"/>
        <v>1</v>
      </c>
      <c r="W515" s="26">
        <f t="shared" si="49"/>
        <v>0</v>
      </c>
      <c r="X515" s="26">
        <f>Data_Base[[#This Row],[B.N Total]]-Data_Base[[#This Row],[Nbre Brachements exécuté]]</f>
        <v>1</v>
      </c>
      <c r="Y515" s="26" t="str">
        <f t="shared" si="51"/>
        <v>vendredi</v>
      </c>
      <c r="Z515" s="26" t="str">
        <f t="shared" si="52"/>
        <v>10</v>
      </c>
      <c r="AA515" s="26" t="str">
        <f t="shared" ref="AA515:AA562" si="54">IF(A515=""," ",TEXT(A515,"mm"))</f>
        <v>05</v>
      </c>
      <c r="AB515" s="26" t="str">
        <f t="shared" si="53"/>
        <v>2024</v>
      </c>
    </row>
    <row r="516" spans="1:28" x14ac:dyDescent="0.25">
      <c r="A516" s="30">
        <v>45422</v>
      </c>
      <c r="B516" s="26" t="s">
        <v>1235</v>
      </c>
      <c r="C516" s="26" t="s">
        <v>2</v>
      </c>
      <c r="D516" s="26" t="s">
        <v>1267</v>
      </c>
      <c r="E516" s="26"/>
      <c r="F516" s="28">
        <v>696893992</v>
      </c>
      <c r="G516" s="26"/>
      <c r="H516" s="26"/>
      <c r="I516" s="26"/>
      <c r="J516" s="30"/>
      <c r="K516" s="26"/>
      <c r="M516" s="30"/>
      <c r="O516" s="26"/>
      <c r="P516" s="31"/>
      <c r="Q516" s="31"/>
      <c r="R516" s="26"/>
      <c r="S516" s="26"/>
      <c r="T516" s="31"/>
      <c r="U516" s="26"/>
      <c r="V516" s="26">
        <f t="shared" si="50"/>
        <v>1</v>
      </c>
      <c r="W516" s="26">
        <f t="shared" si="49"/>
        <v>0</v>
      </c>
      <c r="X516" s="26">
        <f>Data_Base[[#This Row],[B.N Total]]-Data_Base[[#This Row],[Nbre Brachements exécuté]]</f>
        <v>1</v>
      </c>
      <c r="Y516" s="26" t="str">
        <f t="shared" si="51"/>
        <v>vendredi</v>
      </c>
      <c r="Z516" s="26" t="str">
        <f t="shared" si="52"/>
        <v>10</v>
      </c>
      <c r="AA516" s="26" t="str">
        <f t="shared" si="54"/>
        <v>05</v>
      </c>
      <c r="AB516" s="26" t="str">
        <f t="shared" si="53"/>
        <v>2024</v>
      </c>
    </row>
    <row r="517" spans="1:28" x14ac:dyDescent="0.25">
      <c r="A517" s="30">
        <v>45422</v>
      </c>
      <c r="B517" s="26" t="s">
        <v>1235</v>
      </c>
      <c r="C517" s="26" t="s">
        <v>2</v>
      </c>
      <c r="D517" s="26" t="s">
        <v>1268</v>
      </c>
      <c r="E517" s="26"/>
      <c r="F517" s="28">
        <v>696893992</v>
      </c>
      <c r="G517" s="26"/>
      <c r="H517" s="26"/>
      <c r="I517" s="26"/>
      <c r="J517" s="30"/>
      <c r="K517" s="26"/>
      <c r="M517" s="30"/>
      <c r="O517" s="26"/>
      <c r="P517" s="31"/>
      <c r="Q517" s="31"/>
      <c r="R517" s="26"/>
      <c r="S517" s="26"/>
      <c r="T517" s="31"/>
      <c r="U517" s="26"/>
      <c r="V517" s="26">
        <f t="shared" si="50"/>
        <v>1</v>
      </c>
      <c r="W517" s="26">
        <f t="shared" si="49"/>
        <v>0</v>
      </c>
      <c r="X517" s="26">
        <f>Data_Base[[#This Row],[B.N Total]]-Data_Base[[#This Row],[Nbre Brachements exécuté]]</f>
        <v>1</v>
      </c>
      <c r="Y517" s="26" t="str">
        <f t="shared" si="51"/>
        <v>vendredi</v>
      </c>
      <c r="Z517" s="26" t="str">
        <f t="shared" si="52"/>
        <v>10</v>
      </c>
      <c r="AA517" s="26" t="str">
        <f t="shared" si="54"/>
        <v>05</v>
      </c>
      <c r="AB517" s="26" t="str">
        <f t="shared" si="53"/>
        <v>2024</v>
      </c>
    </row>
    <row r="518" spans="1:28" x14ac:dyDescent="0.25">
      <c r="A518" s="30">
        <v>45422</v>
      </c>
      <c r="B518" s="26" t="s">
        <v>1235</v>
      </c>
      <c r="C518" s="26" t="s">
        <v>2</v>
      </c>
      <c r="D518" s="26" t="s">
        <v>1269</v>
      </c>
      <c r="E518" s="26"/>
      <c r="F518" s="28">
        <v>696893992</v>
      </c>
      <c r="G518" s="26"/>
      <c r="H518" s="26"/>
      <c r="I518" s="26"/>
      <c r="J518" s="30"/>
      <c r="K518" s="26"/>
      <c r="M518" s="30"/>
      <c r="O518" s="26"/>
      <c r="P518" s="31"/>
      <c r="Q518" s="31"/>
      <c r="R518" s="26"/>
      <c r="S518" s="26"/>
      <c r="T518" s="31"/>
      <c r="U518" s="26"/>
      <c r="V518" s="26">
        <f t="shared" si="50"/>
        <v>1</v>
      </c>
      <c r="W518" s="26">
        <f t="shared" si="49"/>
        <v>0</v>
      </c>
      <c r="X518" s="26">
        <f>Data_Base[[#This Row],[B.N Total]]-Data_Base[[#This Row],[Nbre Brachements exécuté]]</f>
        <v>1</v>
      </c>
      <c r="Y518" s="26" t="str">
        <f t="shared" si="51"/>
        <v>vendredi</v>
      </c>
      <c r="Z518" s="26" t="str">
        <f t="shared" si="52"/>
        <v>10</v>
      </c>
      <c r="AA518" s="26" t="str">
        <f t="shared" si="54"/>
        <v>05</v>
      </c>
      <c r="AB518" s="26" t="str">
        <f t="shared" si="53"/>
        <v>2024</v>
      </c>
    </row>
    <row r="519" spans="1:28" x14ac:dyDescent="0.25">
      <c r="A519" s="30">
        <v>45422</v>
      </c>
      <c r="B519" s="26" t="s">
        <v>1235</v>
      </c>
      <c r="C519" s="26" t="s">
        <v>2</v>
      </c>
      <c r="D519" s="26" t="s">
        <v>1270</v>
      </c>
      <c r="E519" s="26"/>
      <c r="F519" s="28">
        <v>696893992</v>
      </c>
      <c r="G519" s="26"/>
      <c r="H519" s="26"/>
      <c r="I519" s="26"/>
      <c r="J519" s="30"/>
      <c r="K519" s="26"/>
      <c r="M519" s="30"/>
      <c r="O519" s="26"/>
      <c r="P519" s="31"/>
      <c r="Q519" s="31"/>
      <c r="R519" s="26"/>
      <c r="S519" s="26"/>
      <c r="T519" s="31"/>
      <c r="U519" s="26"/>
      <c r="V519" s="26">
        <f t="shared" si="50"/>
        <v>1</v>
      </c>
      <c r="W519" s="26">
        <f t="shared" si="49"/>
        <v>0</v>
      </c>
      <c r="X519" s="26">
        <f>Data_Base[[#This Row],[B.N Total]]-Data_Base[[#This Row],[Nbre Brachements exécuté]]</f>
        <v>1</v>
      </c>
      <c r="Y519" s="26" t="str">
        <f t="shared" si="51"/>
        <v>vendredi</v>
      </c>
      <c r="Z519" s="26" t="str">
        <f t="shared" si="52"/>
        <v>10</v>
      </c>
      <c r="AA519" s="26" t="str">
        <f t="shared" si="54"/>
        <v>05</v>
      </c>
      <c r="AB519" s="26" t="str">
        <f t="shared" si="53"/>
        <v>2024</v>
      </c>
    </row>
    <row r="520" spans="1:28" x14ac:dyDescent="0.25">
      <c r="A520" s="30">
        <v>45422</v>
      </c>
      <c r="B520" s="26" t="s">
        <v>1271</v>
      </c>
      <c r="C520" s="26" t="s">
        <v>2</v>
      </c>
      <c r="D520" s="26" t="s">
        <v>1272</v>
      </c>
      <c r="E520" s="26"/>
      <c r="F520" s="28">
        <v>677307379</v>
      </c>
      <c r="G520" s="26"/>
      <c r="H520" s="26"/>
      <c r="I520" s="26"/>
      <c r="J520" s="30"/>
      <c r="K520" s="26"/>
      <c r="M520" s="30"/>
      <c r="O520" s="26"/>
      <c r="P520" s="31"/>
      <c r="Q520" s="31"/>
      <c r="R520" s="26"/>
      <c r="S520" s="26"/>
      <c r="T520" s="31"/>
      <c r="U520" s="26"/>
      <c r="V520" s="26">
        <f t="shared" si="50"/>
        <v>1</v>
      </c>
      <c r="W520" s="26">
        <f t="shared" si="49"/>
        <v>0</v>
      </c>
      <c r="X520" s="26">
        <f>Data_Base[[#This Row],[B.N Total]]-Data_Base[[#This Row],[Nbre Brachements exécuté]]</f>
        <v>1</v>
      </c>
      <c r="Y520" s="26" t="str">
        <f t="shared" si="51"/>
        <v>vendredi</v>
      </c>
      <c r="Z520" s="26" t="str">
        <f t="shared" si="52"/>
        <v>10</v>
      </c>
      <c r="AA520" s="26" t="str">
        <f t="shared" si="54"/>
        <v>05</v>
      </c>
      <c r="AB520" s="26" t="str">
        <f t="shared" si="53"/>
        <v>2024</v>
      </c>
    </row>
    <row r="521" spans="1:28" x14ac:dyDescent="0.25">
      <c r="A521" s="30">
        <v>45422</v>
      </c>
      <c r="B521" s="26" t="s">
        <v>1273</v>
      </c>
      <c r="C521" s="26" t="s">
        <v>2</v>
      </c>
      <c r="D521" s="26" t="s">
        <v>1274</v>
      </c>
      <c r="E521" s="26"/>
      <c r="F521" s="28">
        <v>677519679</v>
      </c>
      <c r="G521" s="26"/>
      <c r="H521" s="26"/>
      <c r="I521" s="26"/>
      <c r="J521" s="30"/>
      <c r="K521" s="26"/>
      <c r="M521" s="30"/>
      <c r="O521" s="26"/>
      <c r="P521" s="31"/>
      <c r="Q521" s="31"/>
      <c r="R521" s="26"/>
      <c r="S521" s="26"/>
      <c r="T521" s="31"/>
      <c r="U521" s="26"/>
      <c r="V521" s="26">
        <f t="shared" si="50"/>
        <v>1</v>
      </c>
      <c r="W521" s="26">
        <f t="shared" si="49"/>
        <v>0</v>
      </c>
      <c r="X521" s="26">
        <f>Data_Base[[#This Row],[B.N Total]]-Data_Base[[#This Row],[Nbre Brachements exécuté]]</f>
        <v>1</v>
      </c>
      <c r="Y521" s="26" t="str">
        <f t="shared" si="51"/>
        <v>vendredi</v>
      </c>
      <c r="Z521" s="26" t="str">
        <f t="shared" si="52"/>
        <v>10</v>
      </c>
      <c r="AA521" s="26" t="str">
        <f t="shared" si="54"/>
        <v>05</v>
      </c>
      <c r="AB521" s="26" t="str">
        <f t="shared" si="53"/>
        <v>2024</v>
      </c>
    </row>
    <row r="522" spans="1:28" x14ac:dyDescent="0.25">
      <c r="A522" s="30">
        <v>45422</v>
      </c>
      <c r="B522" s="26" t="s">
        <v>1275</v>
      </c>
      <c r="C522" s="26" t="s">
        <v>2</v>
      </c>
      <c r="D522" s="26" t="s">
        <v>1276</v>
      </c>
      <c r="E522" s="26"/>
      <c r="F522" s="28">
        <v>690229821</v>
      </c>
      <c r="G522" s="26"/>
      <c r="H522" s="26"/>
      <c r="I522" s="26"/>
      <c r="J522" s="30"/>
      <c r="K522" s="26"/>
      <c r="M522" s="30"/>
      <c r="O522" s="26"/>
      <c r="P522" s="31"/>
      <c r="Q522" s="31"/>
      <c r="R522" s="26"/>
      <c r="S522" s="26"/>
      <c r="T522" s="31"/>
      <c r="U522" s="26"/>
      <c r="V522" s="26">
        <f t="shared" si="50"/>
        <v>1</v>
      </c>
      <c r="W522" s="26">
        <f t="shared" si="49"/>
        <v>0</v>
      </c>
      <c r="X522" s="26">
        <f>Data_Base[[#This Row],[B.N Total]]-Data_Base[[#This Row],[Nbre Brachements exécuté]]</f>
        <v>1</v>
      </c>
      <c r="Y522" s="26" t="str">
        <f t="shared" si="51"/>
        <v>vendredi</v>
      </c>
      <c r="Z522" s="26" t="str">
        <f t="shared" si="52"/>
        <v>10</v>
      </c>
      <c r="AA522" s="26" t="str">
        <f t="shared" si="54"/>
        <v>05</v>
      </c>
      <c r="AB522" s="26" t="str">
        <f t="shared" si="53"/>
        <v>2024</v>
      </c>
    </row>
    <row r="523" spans="1:28" x14ac:dyDescent="0.25">
      <c r="A523" s="30">
        <v>45422</v>
      </c>
      <c r="B523" s="26" t="s">
        <v>1277</v>
      </c>
      <c r="C523" s="26" t="s">
        <v>2</v>
      </c>
      <c r="D523" s="26" t="s">
        <v>1278</v>
      </c>
      <c r="E523" s="26"/>
      <c r="F523" s="28">
        <v>696185508</v>
      </c>
      <c r="G523" s="26"/>
      <c r="H523" s="26"/>
      <c r="I523" s="26"/>
      <c r="J523" s="30"/>
      <c r="K523" s="26"/>
      <c r="M523" s="30"/>
      <c r="O523" s="26"/>
      <c r="P523" s="31"/>
      <c r="Q523" s="31"/>
      <c r="R523" s="26"/>
      <c r="S523" s="26"/>
      <c r="T523" s="31"/>
      <c r="U523" s="26"/>
      <c r="V523" s="26">
        <f t="shared" si="50"/>
        <v>1</v>
      </c>
      <c r="W523" s="26">
        <f t="shared" ref="W523:W554" si="55">COUNTA(N523)</f>
        <v>0</v>
      </c>
      <c r="X523" s="26">
        <f>Data_Base[[#This Row],[B.N Total]]-Data_Base[[#This Row],[Nbre Brachements exécuté]]</f>
        <v>1</v>
      </c>
      <c r="Y523" s="26" t="str">
        <f t="shared" si="51"/>
        <v>vendredi</v>
      </c>
      <c r="Z523" s="26" t="str">
        <f t="shared" si="52"/>
        <v>10</v>
      </c>
      <c r="AA523" s="26" t="str">
        <f t="shared" si="54"/>
        <v>05</v>
      </c>
      <c r="AB523" s="26" t="str">
        <f t="shared" si="53"/>
        <v>2024</v>
      </c>
    </row>
    <row r="524" spans="1:28" x14ac:dyDescent="0.25">
      <c r="A524" s="30">
        <v>45422</v>
      </c>
      <c r="B524" s="26" t="s">
        <v>1279</v>
      </c>
      <c r="C524" s="26" t="s">
        <v>2</v>
      </c>
      <c r="D524" s="26" t="s">
        <v>498</v>
      </c>
      <c r="E524" s="26"/>
      <c r="F524" s="28">
        <v>676588265</v>
      </c>
      <c r="G524" s="26" t="s">
        <v>160</v>
      </c>
      <c r="H524" s="26" t="s">
        <v>325</v>
      </c>
      <c r="I524" s="26" t="s">
        <v>556</v>
      </c>
      <c r="J524" s="30">
        <v>45425</v>
      </c>
      <c r="K524" s="26" t="s">
        <v>546</v>
      </c>
      <c r="M524" s="30"/>
      <c r="O524" s="26"/>
      <c r="P524" s="31"/>
      <c r="Q524" s="31"/>
      <c r="R524" s="26"/>
      <c r="S524" s="26"/>
      <c r="T524" s="31"/>
      <c r="U524" s="26"/>
      <c r="V524" s="26">
        <f t="shared" si="50"/>
        <v>1</v>
      </c>
      <c r="W524" s="26">
        <f t="shared" si="55"/>
        <v>0</v>
      </c>
      <c r="X524" s="26">
        <f>Data_Base[[#This Row],[B.N Total]]-Data_Base[[#This Row],[Nbre Brachements exécuté]]</f>
        <v>1</v>
      </c>
      <c r="Y524" s="26" t="str">
        <f t="shared" si="51"/>
        <v>vendredi</v>
      </c>
      <c r="Z524" s="26" t="str">
        <f t="shared" si="52"/>
        <v>10</v>
      </c>
      <c r="AA524" s="26" t="str">
        <f t="shared" si="54"/>
        <v>05</v>
      </c>
      <c r="AB524" s="26" t="str">
        <f t="shared" si="53"/>
        <v>2024</v>
      </c>
    </row>
    <row r="525" spans="1:28" x14ac:dyDescent="0.25">
      <c r="A525" s="30">
        <v>45424</v>
      </c>
      <c r="B525" s="26" t="s">
        <v>875</v>
      </c>
      <c r="C525" s="26" t="s">
        <v>2</v>
      </c>
      <c r="D525" s="26" t="s">
        <v>1280</v>
      </c>
      <c r="E525" s="26"/>
      <c r="F525" s="28">
        <v>677732183</v>
      </c>
      <c r="G525" s="26"/>
      <c r="H525" s="26"/>
      <c r="I525" s="26"/>
      <c r="J525" s="30"/>
      <c r="K525" s="26"/>
      <c r="M525" s="30"/>
      <c r="O525" s="26"/>
      <c r="P525" s="31"/>
      <c r="Q525" s="31"/>
      <c r="R525" s="26"/>
      <c r="S525" s="26"/>
      <c r="T525" s="31"/>
      <c r="U525" s="26"/>
      <c r="V525" s="26">
        <f t="shared" si="50"/>
        <v>1</v>
      </c>
      <c r="W525" s="26">
        <f t="shared" si="55"/>
        <v>0</v>
      </c>
      <c r="X525" s="26">
        <f>Data_Base[[#This Row],[B.N Total]]-Data_Base[[#This Row],[Nbre Brachements exécuté]]</f>
        <v>1</v>
      </c>
      <c r="Y525" s="26" t="str">
        <f t="shared" si="51"/>
        <v>dimanche</v>
      </c>
      <c r="Z525" s="26" t="str">
        <f t="shared" si="52"/>
        <v>12</v>
      </c>
      <c r="AA525" s="26" t="str">
        <f t="shared" si="54"/>
        <v>05</v>
      </c>
      <c r="AB525" s="26" t="str">
        <f t="shared" si="53"/>
        <v>2024</v>
      </c>
    </row>
    <row r="526" spans="1:28" x14ac:dyDescent="0.25">
      <c r="A526" s="30">
        <v>45424</v>
      </c>
      <c r="B526" s="26" t="s">
        <v>875</v>
      </c>
      <c r="C526" s="26" t="s">
        <v>2</v>
      </c>
      <c r="D526" s="26" t="s">
        <v>1281</v>
      </c>
      <c r="E526" s="26"/>
      <c r="F526" s="28">
        <v>677732183</v>
      </c>
      <c r="G526" s="26"/>
      <c r="H526" s="26"/>
      <c r="I526" s="26"/>
      <c r="J526" s="30"/>
      <c r="K526" s="26"/>
      <c r="M526" s="30"/>
      <c r="O526" s="26"/>
      <c r="P526" s="31"/>
      <c r="Q526" s="31"/>
      <c r="R526" s="26"/>
      <c r="S526" s="26"/>
      <c r="T526" s="31"/>
      <c r="U526" s="26"/>
      <c r="V526" s="26">
        <f t="shared" si="50"/>
        <v>1</v>
      </c>
      <c r="W526" s="26">
        <f t="shared" si="55"/>
        <v>0</v>
      </c>
      <c r="X526" s="26">
        <f>Data_Base[[#This Row],[B.N Total]]-Data_Base[[#This Row],[Nbre Brachements exécuté]]</f>
        <v>1</v>
      </c>
      <c r="Y526" s="26" t="str">
        <f t="shared" si="51"/>
        <v>dimanche</v>
      </c>
      <c r="Z526" s="26" t="str">
        <f t="shared" si="52"/>
        <v>12</v>
      </c>
      <c r="AA526" s="26" t="str">
        <f t="shared" si="54"/>
        <v>05</v>
      </c>
      <c r="AB526" s="26" t="str">
        <f t="shared" si="53"/>
        <v>2024</v>
      </c>
    </row>
    <row r="527" spans="1:28" x14ac:dyDescent="0.25">
      <c r="A527" s="30">
        <v>45424</v>
      </c>
      <c r="B527" s="26" t="s">
        <v>875</v>
      </c>
      <c r="C527" s="26" t="s">
        <v>2</v>
      </c>
      <c r="D527" s="26" t="s">
        <v>1282</v>
      </c>
      <c r="E527" s="26"/>
      <c r="F527" s="28">
        <v>677732183</v>
      </c>
      <c r="G527" s="26"/>
      <c r="H527" s="26"/>
      <c r="I527" s="26"/>
      <c r="J527" s="30"/>
      <c r="K527" s="26"/>
      <c r="M527" s="30"/>
      <c r="O527" s="26"/>
      <c r="P527" s="31"/>
      <c r="Q527" s="31"/>
      <c r="R527" s="26"/>
      <c r="S527" s="26"/>
      <c r="T527" s="31"/>
      <c r="U527" s="26"/>
      <c r="V527" s="26">
        <f t="shared" si="50"/>
        <v>1</v>
      </c>
      <c r="W527" s="26">
        <f t="shared" si="55"/>
        <v>0</v>
      </c>
      <c r="X527" s="26">
        <f>Data_Base[[#This Row],[B.N Total]]-Data_Base[[#This Row],[Nbre Brachements exécuté]]</f>
        <v>1</v>
      </c>
      <c r="Y527" s="26" t="str">
        <f t="shared" si="51"/>
        <v>dimanche</v>
      </c>
      <c r="Z527" s="26" t="str">
        <f t="shared" si="52"/>
        <v>12</v>
      </c>
      <c r="AA527" s="26" t="str">
        <f t="shared" si="54"/>
        <v>05</v>
      </c>
      <c r="AB527" s="26" t="str">
        <f t="shared" si="53"/>
        <v>2024</v>
      </c>
    </row>
    <row r="528" spans="1:28" x14ac:dyDescent="0.25">
      <c r="A528" s="30">
        <v>45424</v>
      </c>
      <c r="B528" s="26" t="s">
        <v>875</v>
      </c>
      <c r="C528" s="26" t="s">
        <v>2</v>
      </c>
      <c r="D528" s="26" t="s">
        <v>1283</v>
      </c>
      <c r="E528" s="26"/>
      <c r="F528" s="28">
        <v>677732183</v>
      </c>
      <c r="G528" s="26"/>
      <c r="H528" s="26"/>
      <c r="I528" s="26"/>
      <c r="J528" s="30"/>
      <c r="K528" s="26"/>
      <c r="M528" s="30"/>
      <c r="O528" s="26"/>
      <c r="P528" s="31"/>
      <c r="Q528" s="31"/>
      <c r="R528" s="26"/>
      <c r="S528" s="26"/>
      <c r="T528" s="31"/>
      <c r="U528" s="26"/>
      <c r="V528" s="26">
        <f t="shared" si="50"/>
        <v>1</v>
      </c>
      <c r="W528" s="26">
        <f t="shared" si="55"/>
        <v>0</v>
      </c>
      <c r="X528" s="26">
        <f>Data_Base[[#This Row],[B.N Total]]-Data_Base[[#This Row],[Nbre Brachements exécuté]]</f>
        <v>1</v>
      </c>
      <c r="Y528" s="26" t="str">
        <f t="shared" si="51"/>
        <v>dimanche</v>
      </c>
      <c r="Z528" s="26" t="str">
        <f t="shared" si="52"/>
        <v>12</v>
      </c>
      <c r="AA528" s="26" t="str">
        <f t="shared" si="54"/>
        <v>05</v>
      </c>
      <c r="AB528" s="26" t="str">
        <f t="shared" si="53"/>
        <v>2024</v>
      </c>
    </row>
    <row r="529" spans="1:28" x14ac:dyDescent="0.25">
      <c r="A529" s="30">
        <v>45424</v>
      </c>
      <c r="B529" s="26" t="s">
        <v>875</v>
      </c>
      <c r="C529" s="26" t="s">
        <v>2</v>
      </c>
      <c r="D529" s="26" t="s">
        <v>1284</v>
      </c>
      <c r="E529" s="26"/>
      <c r="F529" s="28">
        <v>677732183</v>
      </c>
      <c r="G529" s="26"/>
      <c r="H529" s="26"/>
      <c r="I529" s="26"/>
      <c r="J529" s="30"/>
      <c r="K529" s="26"/>
      <c r="M529" s="30"/>
      <c r="O529" s="26"/>
      <c r="P529" s="31"/>
      <c r="Q529" s="31"/>
      <c r="R529" s="26"/>
      <c r="S529" s="26"/>
      <c r="T529" s="31"/>
      <c r="U529" s="26"/>
      <c r="V529" s="26">
        <f t="shared" si="50"/>
        <v>1</v>
      </c>
      <c r="W529" s="26">
        <f t="shared" si="55"/>
        <v>0</v>
      </c>
      <c r="X529" s="26">
        <f>Data_Base[[#This Row],[B.N Total]]-Data_Base[[#This Row],[Nbre Brachements exécuté]]</f>
        <v>1</v>
      </c>
      <c r="Y529" s="26" t="str">
        <f t="shared" si="51"/>
        <v>dimanche</v>
      </c>
      <c r="Z529" s="26" t="str">
        <f t="shared" si="52"/>
        <v>12</v>
      </c>
      <c r="AA529" s="26" t="str">
        <f t="shared" si="54"/>
        <v>05</v>
      </c>
      <c r="AB529" s="26" t="str">
        <f t="shared" si="53"/>
        <v>2024</v>
      </c>
    </row>
    <row r="530" spans="1:28" x14ac:dyDescent="0.25">
      <c r="A530" s="30">
        <v>45425</v>
      </c>
      <c r="B530" s="26" t="s">
        <v>1285</v>
      </c>
      <c r="C530" s="26" t="s">
        <v>3</v>
      </c>
      <c r="D530" s="26" t="s">
        <v>1286</v>
      </c>
      <c r="E530" s="26"/>
      <c r="F530" s="28">
        <v>690408113</v>
      </c>
      <c r="G530" s="26" t="s">
        <v>160</v>
      </c>
      <c r="H530" s="26" t="s">
        <v>567</v>
      </c>
      <c r="I530" s="26" t="s">
        <v>573</v>
      </c>
      <c r="J530" s="30"/>
      <c r="K530" s="26"/>
      <c r="M530" s="30"/>
      <c r="O530" s="26"/>
      <c r="P530" s="31"/>
      <c r="Q530" s="31"/>
      <c r="R530" s="26"/>
      <c r="S530" s="26"/>
      <c r="T530" s="31"/>
      <c r="U530" s="26"/>
      <c r="V530" s="26">
        <f t="shared" si="50"/>
        <v>1</v>
      </c>
      <c r="W530" s="26">
        <f t="shared" si="55"/>
        <v>0</v>
      </c>
      <c r="X530" s="26">
        <f>Data_Base[[#This Row],[B.N Total]]-Data_Base[[#This Row],[Nbre Brachements exécuté]]</f>
        <v>1</v>
      </c>
      <c r="Y530" s="26" t="str">
        <f t="shared" si="51"/>
        <v>lundi</v>
      </c>
      <c r="Z530" s="26" t="str">
        <f t="shared" si="52"/>
        <v>13</v>
      </c>
      <c r="AA530" s="26" t="str">
        <f t="shared" si="54"/>
        <v>05</v>
      </c>
      <c r="AB530" s="26" t="str">
        <f t="shared" si="53"/>
        <v>2024</v>
      </c>
    </row>
    <row r="531" spans="1:28" x14ac:dyDescent="0.25">
      <c r="A531" s="30">
        <v>45425</v>
      </c>
      <c r="B531" s="26" t="s">
        <v>1287</v>
      </c>
      <c r="C531" s="26" t="s">
        <v>3</v>
      </c>
      <c r="D531" s="26" t="s">
        <v>1288</v>
      </c>
      <c r="E531" s="26"/>
      <c r="F531" s="28">
        <v>690408113</v>
      </c>
      <c r="G531" s="26" t="s">
        <v>160</v>
      </c>
      <c r="H531" s="26" t="s">
        <v>567</v>
      </c>
      <c r="I531" s="26" t="s">
        <v>573</v>
      </c>
      <c r="J531" s="30"/>
      <c r="K531" s="26"/>
      <c r="M531" s="30"/>
      <c r="O531" s="26"/>
      <c r="P531" s="31"/>
      <c r="Q531" s="31"/>
      <c r="R531" s="26"/>
      <c r="S531" s="26"/>
      <c r="T531" s="31"/>
      <c r="U531" s="26"/>
      <c r="V531" s="26">
        <f t="shared" si="50"/>
        <v>1</v>
      </c>
      <c r="W531" s="26">
        <f t="shared" si="55"/>
        <v>0</v>
      </c>
      <c r="X531" s="26">
        <f>Data_Base[[#This Row],[B.N Total]]-Data_Base[[#This Row],[Nbre Brachements exécuté]]</f>
        <v>1</v>
      </c>
      <c r="Y531" s="26" t="str">
        <f t="shared" si="51"/>
        <v>lundi</v>
      </c>
      <c r="Z531" s="26" t="str">
        <f t="shared" si="52"/>
        <v>13</v>
      </c>
      <c r="AA531" s="26" t="str">
        <f t="shared" si="54"/>
        <v>05</v>
      </c>
      <c r="AB531" s="26" t="str">
        <f t="shared" si="53"/>
        <v>2024</v>
      </c>
    </row>
    <row r="532" spans="1:28" x14ac:dyDescent="0.25">
      <c r="A532" s="30">
        <v>45425</v>
      </c>
      <c r="B532" s="26" t="s">
        <v>1289</v>
      </c>
      <c r="C532" s="26" t="s">
        <v>3</v>
      </c>
      <c r="D532" s="26" t="s">
        <v>1290</v>
      </c>
      <c r="E532" s="26"/>
      <c r="G532" s="26"/>
      <c r="H532" s="26"/>
      <c r="I532" s="26"/>
      <c r="J532" s="30"/>
      <c r="K532" s="26"/>
      <c r="M532" s="30"/>
      <c r="O532" s="26"/>
      <c r="P532" s="31"/>
      <c r="Q532" s="31"/>
      <c r="R532" s="26"/>
      <c r="S532" s="26"/>
      <c r="T532" s="31"/>
      <c r="U532" s="26"/>
      <c r="V532" s="26">
        <f t="shared" si="50"/>
        <v>1</v>
      </c>
      <c r="W532" s="26">
        <f t="shared" si="55"/>
        <v>0</v>
      </c>
      <c r="X532" s="26">
        <f>Data_Base[[#This Row],[B.N Total]]-Data_Base[[#This Row],[Nbre Brachements exécuté]]</f>
        <v>1</v>
      </c>
      <c r="Y532" s="26" t="str">
        <f t="shared" si="51"/>
        <v>lundi</v>
      </c>
      <c r="Z532" s="26" t="str">
        <f t="shared" si="52"/>
        <v>13</v>
      </c>
      <c r="AA532" s="26" t="str">
        <f t="shared" si="54"/>
        <v>05</v>
      </c>
      <c r="AB532" s="26" t="str">
        <f t="shared" si="53"/>
        <v>2024</v>
      </c>
    </row>
    <row r="533" spans="1:28" x14ac:dyDescent="0.25">
      <c r="A533" s="30">
        <v>45425</v>
      </c>
      <c r="B533" s="26" t="s">
        <v>1291</v>
      </c>
      <c r="C533" s="26" t="s">
        <v>2</v>
      </c>
      <c r="D533" s="26" t="s">
        <v>1292</v>
      </c>
      <c r="E533" s="26"/>
      <c r="G533" s="26"/>
      <c r="H533" s="26"/>
      <c r="I533" s="26"/>
      <c r="J533" s="30"/>
      <c r="K533" s="26"/>
      <c r="M533" s="30"/>
      <c r="O533" s="26"/>
      <c r="P533" s="31"/>
      <c r="Q533" s="31"/>
      <c r="R533" s="26"/>
      <c r="S533" s="26"/>
      <c r="T533" s="31"/>
      <c r="U533" s="26"/>
      <c r="V533" s="26">
        <f t="shared" si="50"/>
        <v>1</v>
      </c>
      <c r="W533" s="26">
        <f t="shared" si="55"/>
        <v>0</v>
      </c>
      <c r="X533" s="26">
        <f>Data_Base[[#This Row],[B.N Total]]-Data_Base[[#This Row],[Nbre Brachements exécuté]]</f>
        <v>1</v>
      </c>
      <c r="Y533" s="26" t="str">
        <f t="shared" si="51"/>
        <v>lundi</v>
      </c>
      <c r="Z533" s="26" t="str">
        <f t="shared" si="52"/>
        <v>13</v>
      </c>
      <c r="AA533" s="26" t="str">
        <f t="shared" si="54"/>
        <v>05</v>
      </c>
      <c r="AB533" s="26" t="str">
        <f t="shared" si="53"/>
        <v>2024</v>
      </c>
    </row>
    <row r="534" spans="1:28" x14ac:dyDescent="0.25">
      <c r="A534" s="30">
        <v>45425</v>
      </c>
      <c r="B534" s="26" t="s">
        <v>1293</v>
      </c>
      <c r="C534" s="26" t="s">
        <v>2</v>
      </c>
      <c r="D534" s="26" t="s">
        <v>1294</v>
      </c>
      <c r="E534" s="26"/>
      <c r="G534" s="26"/>
      <c r="H534" s="26"/>
      <c r="I534" s="26"/>
      <c r="J534" s="30"/>
      <c r="K534" s="26"/>
      <c r="M534" s="30"/>
      <c r="O534" s="26"/>
      <c r="P534" s="31"/>
      <c r="Q534" s="31"/>
      <c r="R534" s="26"/>
      <c r="S534" s="26"/>
      <c r="T534" s="31"/>
      <c r="U534" s="26"/>
      <c r="V534" s="26">
        <f t="shared" si="50"/>
        <v>1</v>
      </c>
      <c r="W534" s="26">
        <f t="shared" si="55"/>
        <v>0</v>
      </c>
      <c r="X534" s="26">
        <f>Data_Base[[#This Row],[B.N Total]]-Data_Base[[#This Row],[Nbre Brachements exécuté]]</f>
        <v>1</v>
      </c>
      <c r="Y534" s="26" t="str">
        <f t="shared" si="51"/>
        <v>lundi</v>
      </c>
      <c r="Z534" s="26" t="str">
        <f t="shared" si="52"/>
        <v>13</v>
      </c>
      <c r="AA534" s="26" t="str">
        <f t="shared" si="54"/>
        <v>05</v>
      </c>
      <c r="AB534" s="26" t="str">
        <f t="shared" si="53"/>
        <v>2024</v>
      </c>
    </row>
    <row r="535" spans="1:28" x14ac:dyDescent="0.25">
      <c r="A535" s="30">
        <v>45425</v>
      </c>
      <c r="B535" s="26" t="s">
        <v>1295</v>
      </c>
      <c r="C535" s="26" t="s">
        <v>2</v>
      </c>
      <c r="D535" s="26" t="s">
        <v>1296</v>
      </c>
      <c r="E535" s="26"/>
      <c r="G535" s="26"/>
      <c r="H535" s="26"/>
      <c r="I535" s="26"/>
      <c r="J535" s="30"/>
      <c r="K535" s="26"/>
      <c r="M535" s="30"/>
      <c r="O535" s="26"/>
      <c r="P535" s="31"/>
      <c r="Q535" s="31"/>
      <c r="R535" s="26"/>
      <c r="S535" s="26"/>
      <c r="T535" s="31"/>
      <c r="U535" s="26"/>
      <c r="V535" s="26">
        <f t="shared" si="50"/>
        <v>1</v>
      </c>
      <c r="W535" s="26">
        <f t="shared" si="55"/>
        <v>0</v>
      </c>
      <c r="X535" s="26">
        <f>Data_Base[[#This Row],[B.N Total]]-Data_Base[[#This Row],[Nbre Brachements exécuté]]</f>
        <v>1</v>
      </c>
      <c r="Y535" s="26" t="str">
        <f t="shared" si="51"/>
        <v>lundi</v>
      </c>
      <c r="Z535" s="26" t="str">
        <f t="shared" si="52"/>
        <v>13</v>
      </c>
      <c r="AA535" s="26" t="str">
        <f t="shared" si="54"/>
        <v>05</v>
      </c>
      <c r="AB535" s="26" t="str">
        <f t="shared" si="53"/>
        <v>2024</v>
      </c>
    </row>
    <row r="536" spans="1:28" x14ac:dyDescent="0.25">
      <c r="A536" s="30">
        <v>45425</v>
      </c>
      <c r="B536" s="26" t="s">
        <v>1297</v>
      </c>
      <c r="C536" s="26" t="s">
        <v>2</v>
      </c>
      <c r="D536" s="26" t="s">
        <v>1298</v>
      </c>
      <c r="E536" s="26"/>
      <c r="G536" s="26"/>
      <c r="H536" s="26"/>
      <c r="I536" s="26"/>
      <c r="J536" s="30"/>
      <c r="K536" s="26"/>
      <c r="M536" s="30"/>
      <c r="O536" s="26"/>
      <c r="P536" s="31"/>
      <c r="Q536" s="31"/>
      <c r="R536" s="26"/>
      <c r="S536" s="26"/>
      <c r="T536" s="31"/>
      <c r="U536" s="26"/>
      <c r="V536" s="26">
        <f t="shared" si="50"/>
        <v>1</v>
      </c>
      <c r="W536" s="26">
        <f t="shared" si="55"/>
        <v>0</v>
      </c>
      <c r="X536" s="26">
        <f>Data_Base[[#This Row],[B.N Total]]-Data_Base[[#This Row],[Nbre Brachements exécuté]]</f>
        <v>1</v>
      </c>
      <c r="Y536" s="26" t="str">
        <f t="shared" si="51"/>
        <v>lundi</v>
      </c>
      <c r="Z536" s="26" t="str">
        <f t="shared" si="52"/>
        <v>13</v>
      </c>
      <c r="AA536" s="26" t="str">
        <f t="shared" si="54"/>
        <v>05</v>
      </c>
      <c r="AB536" s="26" t="str">
        <f t="shared" si="53"/>
        <v>2024</v>
      </c>
    </row>
    <row r="537" spans="1:28" x14ac:dyDescent="0.25">
      <c r="A537" s="30">
        <v>45425</v>
      </c>
      <c r="B537" s="26" t="s">
        <v>1299</v>
      </c>
      <c r="C537" s="26" t="s">
        <v>2</v>
      </c>
      <c r="D537" s="26" t="s">
        <v>1300</v>
      </c>
      <c r="E537" s="26"/>
      <c r="G537" s="26"/>
      <c r="H537" s="26"/>
      <c r="I537" s="26"/>
      <c r="J537" s="30"/>
      <c r="K537" s="26"/>
      <c r="M537" s="30"/>
      <c r="O537" s="26"/>
      <c r="P537" s="31"/>
      <c r="Q537" s="31"/>
      <c r="R537" s="26"/>
      <c r="S537" s="26"/>
      <c r="T537" s="31"/>
      <c r="U537" s="26"/>
      <c r="V537" s="26">
        <f t="shared" si="50"/>
        <v>1</v>
      </c>
      <c r="W537" s="26">
        <f t="shared" si="55"/>
        <v>0</v>
      </c>
      <c r="X537" s="26">
        <f>Data_Base[[#This Row],[B.N Total]]-Data_Base[[#This Row],[Nbre Brachements exécuté]]</f>
        <v>1</v>
      </c>
      <c r="Y537" s="26" t="str">
        <f t="shared" si="51"/>
        <v>lundi</v>
      </c>
      <c r="Z537" s="26" t="str">
        <f t="shared" si="52"/>
        <v>13</v>
      </c>
      <c r="AA537" s="26" t="str">
        <f t="shared" si="54"/>
        <v>05</v>
      </c>
      <c r="AB537" s="26" t="str">
        <f t="shared" si="53"/>
        <v>2024</v>
      </c>
    </row>
    <row r="538" spans="1:28" x14ac:dyDescent="0.25">
      <c r="A538" s="30">
        <v>45425</v>
      </c>
      <c r="B538" s="26" t="s">
        <v>1301</v>
      </c>
      <c r="C538" s="26" t="s">
        <v>2</v>
      </c>
      <c r="D538" s="26" t="s">
        <v>1302</v>
      </c>
      <c r="E538" s="26"/>
      <c r="G538" s="26"/>
      <c r="H538" s="26"/>
      <c r="I538" s="26"/>
      <c r="J538" s="30"/>
      <c r="K538" s="26"/>
      <c r="M538" s="30"/>
      <c r="O538" s="26"/>
      <c r="P538" s="31"/>
      <c r="Q538" s="31"/>
      <c r="R538" s="26"/>
      <c r="S538" s="26"/>
      <c r="T538" s="31"/>
      <c r="U538" s="26"/>
      <c r="V538" s="26">
        <f t="shared" si="50"/>
        <v>1</v>
      </c>
      <c r="W538" s="26">
        <f t="shared" si="55"/>
        <v>0</v>
      </c>
      <c r="X538" s="26">
        <f>Data_Base[[#This Row],[B.N Total]]-Data_Base[[#This Row],[Nbre Brachements exécuté]]</f>
        <v>1</v>
      </c>
      <c r="Y538" s="26" t="str">
        <f t="shared" si="51"/>
        <v>lundi</v>
      </c>
      <c r="Z538" s="26" t="str">
        <f t="shared" si="52"/>
        <v>13</v>
      </c>
      <c r="AA538" s="26" t="str">
        <f t="shared" si="54"/>
        <v>05</v>
      </c>
      <c r="AB538" s="26" t="str">
        <f t="shared" si="53"/>
        <v>2024</v>
      </c>
    </row>
    <row r="539" spans="1:28" x14ac:dyDescent="0.25">
      <c r="A539" s="30">
        <v>45425</v>
      </c>
      <c r="B539" s="26" t="s">
        <v>1301</v>
      </c>
      <c r="C539" s="26" t="s">
        <v>2</v>
      </c>
      <c r="D539" s="26" t="s">
        <v>1303</v>
      </c>
      <c r="E539" s="26"/>
      <c r="G539" s="26"/>
      <c r="H539" s="26"/>
      <c r="I539" s="26"/>
      <c r="J539" s="30"/>
      <c r="K539" s="26"/>
      <c r="M539" s="30"/>
      <c r="O539" s="26"/>
      <c r="P539" s="31"/>
      <c r="Q539" s="31"/>
      <c r="R539" s="26"/>
      <c r="S539" s="26"/>
      <c r="T539" s="31"/>
      <c r="U539" s="26"/>
      <c r="V539" s="26">
        <f t="shared" si="50"/>
        <v>1</v>
      </c>
      <c r="W539" s="26">
        <f t="shared" si="55"/>
        <v>0</v>
      </c>
      <c r="X539" s="26">
        <f>Data_Base[[#This Row],[B.N Total]]-Data_Base[[#This Row],[Nbre Brachements exécuté]]</f>
        <v>1</v>
      </c>
      <c r="Y539" s="26" t="str">
        <f t="shared" si="51"/>
        <v>lundi</v>
      </c>
      <c r="Z539" s="26" t="str">
        <f t="shared" si="52"/>
        <v>13</v>
      </c>
      <c r="AA539" s="26" t="str">
        <f t="shared" si="54"/>
        <v>05</v>
      </c>
      <c r="AB539" s="26" t="str">
        <f t="shared" si="53"/>
        <v>2024</v>
      </c>
    </row>
    <row r="540" spans="1:28" x14ac:dyDescent="0.25">
      <c r="A540" s="30">
        <v>45425</v>
      </c>
      <c r="B540" s="26" t="s">
        <v>1301</v>
      </c>
      <c r="C540" s="26" t="s">
        <v>2</v>
      </c>
      <c r="D540" s="26" t="s">
        <v>1304</v>
      </c>
      <c r="E540" s="26"/>
      <c r="G540" s="26"/>
      <c r="H540" s="26"/>
      <c r="I540" s="26"/>
      <c r="J540" s="30"/>
      <c r="K540" s="26"/>
      <c r="M540" s="30"/>
      <c r="O540" s="26"/>
      <c r="P540" s="31"/>
      <c r="Q540" s="31"/>
      <c r="R540" s="26"/>
      <c r="S540" s="26"/>
      <c r="T540" s="31"/>
      <c r="U540" s="26"/>
      <c r="V540" s="26">
        <f t="shared" si="50"/>
        <v>1</v>
      </c>
      <c r="W540" s="26">
        <f t="shared" si="55"/>
        <v>0</v>
      </c>
      <c r="X540" s="26">
        <f>Data_Base[[#This Row],[B.N Total]]-Data_Base[[#This Row],[Nbre Brachements exécuté]]</f>
        <v>1</v>
      </c>
      <c r="Y540" s="26" t="str">
        <f t="shared" si="51"/>
        <v>lundi</v>
      </c>
      <c r="Z540" s="26" t="str">
        <f t="shared" si="52"/>
        <v>13</v>
      </c>
      <c r="AA540" s="26" t="str">
        <f t="shared" si="54"/>
        <v>05</v>
      </c>
      <c r="AB540" s="26" t="str">
        <f t="shared" si="53"/>
        <v>2024</v>
      </c>
    </row>
    <row r="541" spans="1:28" x14ac:dyDescent="0.25">
      <c r="A541" s="30">
        <v>45425</v>
      </c>
      <c r="B541" s="26" t="s">
        <v>1301</v>
      </c>
      <c r="C541" s="26" t="s">
        <v>2</v>
      </c>
      <c r="D541" s="26" t="s">
        <v>1305</v>
      </c>
      <c r="E541" s="26"/>
      <c r="G541" s="26"/>
      <c r="H541" s="26"/>
      <c r="I541" s="26"/>
      <c r="J541" s="30"/>
      <c r="K541" s="26"/>
      <c r="M541" s="30"/>
      <c r="O541" s="26"/>
      <c r="P541" s="31"/>
      <c r="Q541" s="31"/>
      <c r="R541" s="26"/>
      <c r="S541" s="26"/>
      <c r="T541" s="31"/>
      <c r="U541" s="26"/>
      <c r="V541" s="26">
        <f t="shared" si="50"/>
        <v>1</v>
      </c>
      <c r="W541" s="26">
        <f t="shared" si="55"/>
        <v>0</v>
      </c>
      <c r="X541" s="26">
        <f>Data_Base[[#This Row],[B.N Total]]-Data_Base[[#This Row],[Nbre Brachements exécuté]]</f>
        <v>1</v>
      </c>
      <c r="Y541" s="26" t="str">
        <f t="shared" si="51"/>
        <v>lundi</v>
      </c>
      <c r="Z541" s="26" t="str">
        <f t="shared" si="52"/>
        <v>13</v>
      </c>
      <c r="AA541" s="26" t="str">
        <f t="shared" si="54"/>
        <v>05</v>
      </c>
      <c r="AB541" s="26" t="str">
        <f t="shared" si="53"/>
        <v>2024</v>
      </c>
    </row>
    <row r="542" spans="1:28" x14ac:dyDescent="0.25">
      <c r="A542" s="30">
        <v>45425</v>
      </c>
      <c r="B542" s="26" t="s">
        <v>1306</v>
      </c>
      <c r="C542" s="26" t="s">
        <v>2</v>
      </c>
      <c r="D542" s="26" t="s">
        <v>1307</v>
      </c>
      <c r="E542" s="26"/>
      <c r="G542" s="26"/>
      <c r="H542" s="26"/>
      <c r="I542" s="26"/>
      <c r="J542" s="30"/>
      <c r="K542" s="26"/>
      <c r="M542" s="30"/>
      <c r="O542" s="26"/>
      <c r="P542" s="31"/>
      <c r="Q542" s="31"/>
      <c r="R542" s="26"/>
      <c r="S542" s="26"/>
      <c r="T542" s="31"/>
      <c r="U542" s="26"/>
      <c r="V542" s="26">
        <f t="shared" si="50"/>
        <v>1</v>
      </c>
      <c r="W542" s="26">
        <f t="shared" si="55"/>
        <v>0</v>
      </c>
      <c r="X542" s="26">
        <f>Data_Base[[#This Row],[B.N Total]]-Data_Base[[#This Row],[Nbre Brachements exécuté]]</f>
        <v>1</v>
      </c>
      <c r="Y542" s="26" t="str">
        <f t="shared" si="51"/>
        <v>lundi</v>
      </c>
      <c r="Z542" s="26" t="str">
        <f t="shared" si="52"/>
        <v>13</v>
      </c>
      <c r="AA542" s="26" t="str">
        <f t="shared" si="54"/>
        <v>05</v>
      </c>
      <c r="AB542" s="26" t="str">
        <f t="shared" si="53"/>
        <v>2024</v>
      </c>
    </row>
    <row r="543" spans="1:28" x14ac:dyDescent="0.25">
      <c r="A543" s="30">
        <v>45425</v>
      </c>
      <c r="B543" s="26" t="s">
        <v>1308</v>
      </c>
      <c r="C543" s="26" t="s">
        <v>2</v>
      </c>
      <c r="D543" s="26" t="s">
        <v>1309</v>
      </c>
      <c r="E543" s="26"/>
      <c r="G543" s="26"/>
      <c r="H543" s="26"/>
      <c r="I543" s="26"/>
      <c r="J543" s="30"/>
      <c r="K543" s="26"/>
      <c r="M543" s="30"/>
      <c r="O543" s="26"/>
      <c r="P543" s="31"/>
      <c r="Q543" s="31"/>
      <c r="R543" s="26"/>
      <c r="S543" s="26"/>
      <c r="T543" s="31"/>
      <c r="U543" s="26"/>
      <c r="V543" s="26">
        <f t="shared" si="50"/>
        <v>1</v>
      </c>
      <c r="W543" s="26">
        <f t="shared" si="55"/>
        <v>0</v>
      </c>
      <c r="X543" s="26">
        <f>Data_Base[[#This Row],[B.N Total]]-Data_Base[[#This Row],[Nbre Brachements exécuté]]</f>
        <v>1</v>
      </c>
      <c r="Y543" s="26" t="str">
        <f t="shared" si="51"/>
        <v>lundi</v>
      </c>
      <c r="Z543" s="26" t="str">
        <f t="shared" si="52"/>
        <v>13</v>
      </c>
      <c r="AA543" s="26" t="str">
        <f t="shared" si="54"/>
        <v>05</v>
      </c>
      <c r="AB543" s="26" t="str">
        <f t="shared" si="53"/>
        <v>2024</v>
      </c>
    </row>
    <row r="544" spans="1:28" x14ac:dyDescent="0.25">
      <c r="A544" s="30">
        <v>45425</v>
      </c>
      <c r="B544" s="26" t="s">
        <v>1310</v>
      </c>
      <c r="C544" s="26" t="s">
        <v>2</v>
      </c>
      <c r="D544" s="26" t="s">
        <v>1311</v>
      </c>
      <c r="E544" s="26"/>
      <c r="G544" s="26"/>
      <c r="H544" s="26"/>
      <c r="I544" s="26"/>
      <c r="J544" s="30"/>
      <c r="K544" s="26"/>
      <c r="M544" s="30"/>
      <c r="O544" s="26"/>
      <c r="P544" s="31"/>
      <c r="Q544" s="31"/>
      <c r="R544" s="26"/>
      <c r="S544" s="26"/>
      <c r="T544" s="31"/>
      <c r="U544" s="26"/>
      <c r="V544" s="26">
        <f t="shared" si="50"/>
        <v>1</v>
      </c>
      <c r="W544" s="26">
        <f t="shared" si="55"/>
        <v>0</v>
      </c>
      <c r="X544" s="26">
        <f>Data_Base[[#This Row],[B.N Total]]-Data_Base[[#This Row],[Nbre Brachements exécuté]]</f>
        <v>1</v>
      </c>
      <c r="Y544" s="26" t="str">
        <f t="shared" si="51"/>
        <v>lundi</v>
      </c>
      <c r="Z544" s="26" t="str">
        <f t="shared" si="52"/>
        <v>13</v>
      </c>
      <c r="AA544" s="26" t="str">
        <f t="shared" si="54"/>
        <v>05</v>
      </c>
      <c r="AB544" s="26" t="str">
        <f t="shared" si="53"/>
        <v>2024</v>
      </c>
    </row>
    <row r="545" spans="1:28" x14ac:dyDescent="0.25">
      <c r="A545" s="30">
        <v>45425</v>
      </c>
      <c r="B545" s="26" t="s">
        <v>1312</v>
      </c>
      <c r="C545" s="26" t="s">
        <v>2</v>
      </c>
      <c r="D545" s="26" t="s">
        <v>1313</v>
      </c>
      <c r="E545" s="26"/>
      <c r="G545" s="26"/>
      <c r="H545" s="26"/>
      <c r="I545" s="26"/>
      <c r="J545" s="30"/>
      <c r="K545" s="26"/>
      <c r="M545" s="30"/>
      <c r="O545" s="26"/>
      <c r="P545" s="31"/>
      <c r="Q545" s="31"/>
      <c r="R545" s="26"/>
      <c r="S545" s="26"/>
      <c r="T545" s="31"/>
      <c r="U545" s="26"/>
      <c r="V545" s="26">
        <f t="shared" si="50"/>
        <v>1</v>
      </c>
      <c r="W545" s="26">
        <f t="shared" si="55"/>
        <v>0</v>
      </c>
      <c r="X545" s="26">
        <f>Data_Base[[#This Row],[B.N Total]]-Data_Base[[#This Row],[Nbre Brachements exécuté]]</f>
        <v>1</v>
      </c>
      <c r="Y545" s="26" t="str">
        <f t="shared" si="51"/>
        <v>lundi</v>
      </c>
      <c r="Z545" s="26" t="str">
        <f t="shared" si="52"/>
        <v>13</v>
      </c>
      <c r="AA545" s="26" t="str">
        <f t="shared" si="54"/>
        <v>05</v>
      </c>
      <c r="AB545" s="26" t="str">
        <f t="shared" si="53"/>
        <v>2024</v>
      </c>
    </row>
    <row r="546" spans="1:28" x14ac:dyDescent="0.25">
      <c r="A546" s="30">
        <v>45425</v>
      </c>
      <c r="B546" s="26" t="s">
        <v>1314</v>
      </c>
      <c r="C546" s="26" t="s">
        <v>2</v>
      </c>
      <c r="D546" s="26" t="s">
        <v>1315</v>
      </c>
      <c r="E546" s="26"/>
      <c r="G546" s="26"/>
      <c r="H546" s="26"/>
      <c r="I546" s="26"/>
      <c r="J546" s="30"/>
      <c r="K546" s="26"/>
      <c r="M546" s="30"/>
      <c r="O546" s="26"/>
      <c r="P546" s="31"/>
      <c r="Q546" s="31"/>
      <c r="R546" s="26"/>
      <c r="S546" s="26"/>
      <c r="T546" s="31"/>
      <c r="U546" s="26"/>
      <c r="V546" s="26">
        <f t="shared" si="50"/>
        <v>1</v>
      </c>
      <c r="W546" s="26">
        <f t="shared" si="55"/>
        <v>0</v>
      </c>
      <c r="X546" s="26">
        <f>Data_Base[[#This Row],[B.N Total]]-Data_Base[[#This Row],[Nbre Brachements exécuté]]</f>
        <v>1</v>
      </c>
      <c r="Y546" s="26" t="str">
        <f t="shared" si="51"/>
        <v>lundi</v>
      </c>
      <c r="Z546" s="26" t="str">
        <f t="shared" si="52"/>
        <v>13</v>
      </c>
      <c r="AA546" s="26" t="str">
        <f t="shared" si="54"/>
        <v>05</v>
      </c>
      <c r="AB546" s="26" t="str">
        <f t="shared" si="53"/>
        <v>2024</v>
      </c>
    </row>
    <row r="547" spans="1:28" x14ac:dyDescent="0.25">
      <c r="A547" s="30">
        <v>45425</v>
      </c>
      <c r="B547" s="26" t="s">
        <v>1314</v>
      </c>
      <c r="C547" s="26" t="s">
        <v>2</v>
      </c>
      <c r="D547" s="26" t="s">
        <v>1316</v>
      </c>
      <c r="E547" s="26"/>
      <c r="G547" s="26"/>
      <c r="H547" s="26"/>
      <c r="I547" s="26"/>
      <c r="J547" s="30"/>
      <c r="K547" s="26"/>
      <c r="M547" s="30"/>
      <c r="O547" s="26"/>
      <c r="P547" s="31"/>
      <c r="Q547" s="31"/>
      <c r="R547" s="26"/>
      <c r="S547" s="26"/>
      <c r="T547" s="31"/>
      <c r="U547" s="26"/>
      <c r="V547" s="26">
        <f t="shared" si="50"/>
        <v>1</v>
      </c>
      <c r="W547" s="26">
        <f t="shared" si="55"/>
        <v>0</v>
      </c>
      <c r="X547" s="26">
        <f>Data_Base[[#This Row],[B.N Total]]-Data_Base[[#This Row],[Nbre Brachements exécuté]]</f>
        <v>1</v>
      </c>
      <c r="Y547" s="26" t="str">
        <f t="shared" si="51"/>
        <v>lundi</v>
      </c>
      <c r="Z547" s="26" t="str">
        <f t="shared" si="52"/>
        <v>13</v>
      </c>
      <c r="AA547" s="26" t="str">
        <f t="shared" si="54"/>
        <v>05</v>
      </c>
      <c r="AB547" s="26" t="str">
        <f t="shared" si="53"/>
        <v>2024</v>
      </c>
    </row>
    <row r="548" spans="1:28" x14ac:dyDescent="0.25">
      <c r="A548" s="30">
        <v>45425</v>
      </c>
      <c r="B548" s="26" t="s">
        <v>1317</v>
      </c>
      <c r="C548" s="26" t="s">
        <v>2</v>
      </c>
      <c r="D548" s="26" t="s">
        <v>1318</v>
      </c>
      <c r="E548" s="26"/>
      <c r="G548" s="26"/>
      <c r="H548" s="26"/>
      <c r="I548" s="26"/>
      <c r="J548" s="30"/>
      <c r="K548" s="26"/>
      <c r="M548" s="30"/>
      <c r="O548" s="26"/>
      <c r="P548" s="31"/>
      <c r="Q548" s="31"/>
      <c r="R548" s="26"/>
      <c r="S548" s="26"/>
      <c r="T548" s="31"/>
      <c r="U548" s="26"/>
      <c r="V548" s="26">
        <f t="shared" si="50"/>
        <v>1</v>
      </c>
      <c r="W548" s="26">
        <f t="shared" si="55"/>
        <v>0</v>
      </c>
      <c r="X548" s="26">
        <f>Data_Base[[#This Row],[B.N Total]]-Data_Base[[#This Row],[Nbre Brachements exécuté]]</f>
        <v>1</v>
      </c>
      <c r="Y548" s="26" t="str">
        <f t="shared" si="51"/>
        <v>lundi</v>
      </c>
      <c r="Z548" s="26" t="str">
        <f t="shared" si="52"/>
        <v>13</v>
      </c>
      <c r="AA548" s="26" t="str">
        <f t="shared" si="54"/>
        <v>05</v>
      </c>
      <c r="AB548" s="26" t="str">
        <f t="shared" si="53"/>
        <v>2024</v>
      </c>
    </row>
    <row r="549" spans="1:28" x14ac:dyDescent="0.25">
      <c r="A549" s="30">
        <v>45425</v>
      </c>
      <c r="B549" s="26" t="s">
        <v>1319</v>
      </c>
      <c r="C549" s="26" t="s">
        <v>2</v>
      </c>
      <c r="D549" s="26" t="s">
        <v>1320</v>
      </c>
      <c r="E549" s="26"/>
      <c r="G549" s="26"/>
      <c r="H549" s="26"/>
      <c r="I549" s="26"/>
      <c r="J549" s="30"/>
      <c r="K549" s="26"/>
      <c r="M549" s="30"/>
      <c r="O549" s="26"/>
      <c r="P549" s="31"/>
      <c r="Q549" s="31"/>
      <c r="R549" s="26"/>
      <c r="S549" s="26"/>
      <c r="T549" s="31"/>
      <c r="U549" s="26"/>
      <c r="V549" s="26">
        <f t="shared" si="50"/>
        <v>1</v>
      </c>
      <c r="W549" s="26">
        <f t="shared" si="55"/>
        <v>0</v>
      </c>
      <c r="X549" s="26">
        <f>Data_Base[[#This Row],[B.N Total]]-Data_Base[[#This Row],[Nbre Brachements exécuté]]</f>
        <v>1</v>
      </c>
      <c r="Y549" s="26" t="str">
        <f t="shared" si="51"/>
        <v>lundi</v>
      </c>
      <c r="Z549" s="26" t="str">
        <f t="shared" si="52"/>
        <v>13</v>
      </c>
      <c r="AA549" s="26" t="str">
        <f t="shared" si="54"/>
        <v>05</v>
      </c>
      <c r="AB549" s="26" t="str">
        <f t="shared" si="53"/>
        <v>2024</v>
      </c>
    </row>
    <row r="550" spans="1:28" x14ac:dyDescent="0.25">
      <c r="A550" s="30">
        <v>45425</v>
      </c>
      <c r="B550" s="26" t="s">
        <v>1321</v>
      </c>
      <c r="C550" s="26" t="s">
        <v>2</v>
      </c>
      <c r="D550" s="26" t="s">
        <v>1322</v>
      </c>
      <c r="E550" s="26"/>
      <c r="G550" s="26"/>
      <c r="H550" s="26"/>
      <c r="I550" s="26"/>
      <c r="J550" s="30"/>
      <c r="K550" s="26"/>
      <c r="M550" s="30"/>
      <c r="O550" s="26"/>
      <c r="P550" s="31"/>
      <c r="Q550" s="31"/>
      <c r="R550" s="26"/>
      <c r="S550" s="26"/>
      <c r="T550" s="31"/>
      <c r="U550" s="26"/>
      <c r="V550" s="26">
        <f t="shared" si="50"/>
        <v>1</v>
      </c>
      <c r="W550" s="26">
        <f t="shared" si="55"/>
        <v>0</v>
      </c>
      <c r="X550" s="26">
        <f>Data_Base[[#This Row],[B.N Total]]-Data_Base[[#This Row],[Nbre Brachements exécuté]]</f>
        <v>1</v>
      </c>
      <c r="Y550" s="26" t="str">
        <f t="shared" si="51"/>
        <v>lundi</v>
      </c>
      <c r="Z550" s="26" t="str">
        <f t="shared" si="52"/>
        <v>13</v>
      </c>
      <c r="AA550" s="26" t="str">
        <f t="shared" si="54"/>
        <v>05</v>
      </c>
      <c r="AB550" s="26" t="str">
        <f t="shared" si="53"/>
        <v>2024</v>
      </c>
    </row>
    <row r="551" spans="1:28" x14ac:dyDescent="0.25">
      <c r="A551" s="30">
        <v>45425</v>
      </c>
      <c r="B551" s="26" t="s">
        <v>1323</v>
      </c>
      <c r="C551" s="26" t="s">
        <v>2</v>
      </c>
      <c r="D551" s="26" t="s">
        <v>1324</v>
      </c>
      <c r="E551" s="26"/>
      <c r="G551" s="26"/>
      <c r="H551" s="26"/>
      <c r="I551" s="26"/>
      <c r="J551" s="30"/>
      <c r="K551" s="26"/>
      <c r="M551" s="30"/>
      <c r="O551" s="26"/>
      <c r="P551" s="31"/>
      <c r="Q551" s="31"/>
      <c r="R551" s="26"/>
      <c r="S551" s="26"/>
      <c r="T551" s="31"/>
      <c r="U551" s="26"/>
      <c r="V551" s="26">
        <f t="shared" si="50"/>
        <v>1</v>
      </c>
      <c r="W551" s="26">
        <f t="shared" si="55"/>
        <v>0</v>
      </c>
      <c r="X551" s="26">
        <f>Data_Base[[#This Row],[B.N Total]]-Data_Base[[#This Row],[Nbre Brachements exécuté]]</f>
        <v>1</v>
      </c>
      <c r="Y551" s="26" t="str">
        <f t="shared" si="51"/>
        <v>lundi</v>
      </c>
      <c r="Z551" s="26" t="str">
        <f t="shared" si="52"/>
        <v>13</v>
      </c>
      <c r="AA551" s="26" t="str">
        <f t="shared" si="54"/>
        <v>05</v>
      </c>
      <c r="AB551" s="26" t="str">
        <f t="shared" si="53"/>
        <v>2024</v>
      </c>
    </row>
    <row r="552" spans="1:28" x14ac:dyDescent="0.25">
      <c r="A552" s="30">
        <v>45425</v>
      </c>
      <c r="B552" s="26" t="s">
        <v>1325</v>
      </c>
      <c r="C552" s="26" t="s">
        <v>2</v>
      </c>
      <c r="D552" s="26" t="s">
        <v>1326</v>
      </c>
      <c r="E552" s="26"/>
      <c r="G552" s="26"/>
      <c r="H552" s="26"/>
      <c r="I552" s="26"/>
      <c r="J552" s="30"/>
      <c r="K552" s="26"/>
      <c r="M552" s="30"/>
      <c r="O552" s="26"/>
      <c r="P552" s="31"/>
      <c r="Q552" s="31"/>
      <c r="R552" s="26"/>
      <c r="S552" s="26"/>
      <c r="T552" s="31"/>
      <c r="U552" s="26"/>
      <c r="V552" s="26">
        <f t="shared" si="50"/>
        <v>1</v>
      </c>
      <c r="W552" s="26">
        <f t="shared" si="55"/>
        <v>0</v>
      </c>
      <c r="X552" s="26">
        <f>Data_Base[[#This Row],[B.N Total]]-Data_Base[[#This Row],[Nbre Brachements exécuté]]</f>
        <v>1</v>
      </c>
      <c r="Y552" s="26" t="str">
        <f t="shared" si="51"/>
        <v>lundi</v>
      </c>
      <c r="Z552" s="26" t="str">
        <f t="shared" si="52"/>
        <v>13</v>
      </c>
      <c r="AA552" s="26" t="str">
        <f t="shared" si="54"/>
        <v>05</v>
      </c>
      <c r="AB552" s="26" t="str">
        <f t="shared" si="53"/>
        <v>2024</v>
      </c>
    </row>
    <row r="553" spans="1:28" x14ac:dyDescent="0.25">
      <c r="A553" s="30">
        <v>45425</v>
      </c>
      <c r="B553" s="26" t="s">
        <v>1327</v>
      </c>
      <c r="C553" s="26" t="s">
        <v>2</v>
      </c>
      <c r="D553" s="26" t="s">
        <v>1328</v>
      </c>
      <c r="E553" s="26"/>
      <c r="G553" s="26"/>
      <c r="H553" s="26"/>
      <c r="I553" s="26"/>
      <c r="J553" s="30"/>
      <c r="K553" s="26"/>
      <c r="M553" s="30"/>
      <c r="O553" s="26"/>
      <c r="P553" s="31"/>
      <c r="Q553" s="31"/>
      <c r="R553" s="26"/>
      <c r="S553" s="26"/>
      <c r="T553" s="31"/>
      <c r="U553" s="26"/>
      <c r="V553" s="26">
        <f t="shared" si="50"/>
        <v>1</v>
      </c>
      <c r="W553" s="26">
        <f t="shared" si="55"/>
        <v>0</v>
      </c>
      <c r="X553" s="26">
        <f>Data_Base[[#This Row],[B.N Total]]-Data_Base[[#This Row],[Nbre Brachements exécuté]]</f>
        <v>1</v>
      </c>
      <c r="Y553" s="26" t="str">
        <f t="shared" si="51"/>
        <v>lundi</v>
      </c>
      <c r="Z553" s="26" t="str">
        <f t="shared" si="52"/>
        <v>13</v>
      </c>
      <c r="AA553" s="26" t="str">
        <f t="shared" si="54"/>
        <v>05</v>
      </c>
      <c r="AB553" s="26" t="str">
        <f t="shared" si="53"/>
        <v>2024</v>
      </c>
    </row>
    <row r="554" spans="1:28" x14ac:dyDescent="0.25">
      <c r="A554" s="30">
        <v>45425</v>
      </c>
      <c r="B554" s="26" t="s">
        <v>1329</v>
      </c>
      <c r="C554" s="26" t="s">
        <v>2</v>
      </c>
      <c r="D554" s="26" t="s">
        <v>1330</v>
      </c>
      <c r="E554" s="26"/>
      <c r="G554" s="26"/>
      <c r="H554" s="26"/>
      <c r="I554" s="26"/>
      <c r="J554" s="30"/>
      <c r="K554" s="26"/>
      <c r="M554" s="30"/>
      <c r="O554" s="26"/>
      <c r="P554" s="31"/>
      <c r="Q554" s="31"/>
      <c r="R554" s="26"/>
      <c r="S554" s="26"/>
      <c r="T554" s="31"/>
      <c r="U554" s="26"/>
      <c r="V554" s="26">
        <f t="shared" si="50"/>
        <v>1</v>
      </c>
      <c r="W554" s="26">
        <f t="shared" si="55"/>
        <v>0</v>
      </c>
      <c r="X554" s="26">
        <f>Data_Base[[#This Row],[B.N Total]]-Data_Base[[#This Row],[Nbre Brachements exécuté]]</f>
        <v>1</v>
      </c>
      <c r="Y554" s="26" t="str">
        <f t="shared" si="51"/>
        <v>lundi</v>
      </c>
      <c r="Z554" s="26" t="str">
        <f t="shared" si="52"/>
        <v>13</v>
      </c>
      <c r="AA554" s="26" t="str">
        <f t="shared" si="54"/>
        <v>05</v>
      </c>
      <c r="AB554" s="26" t="str">
        <f t="shared" si="53"/>
        <v>2024</v>
      </c>
    </row>
    <row r="555" spans="1:28" x14ac:dyDescent="0.25">
      <c r="A555" s="30">
        <v>45425</v>
      </c>
      <c r="B555" s="26" t="s">
        <v>1331</v>
      </c>
      <c r="C555" s="26" t="s">
        <v>2</v>
      </c>
      <c r="D555" s="26" t="s">
        <v>1332</v>
      </c>
      <c r="E555" s="26"/>
      <c r="G555" s="26"/>
      <c r="H555" s="26"/>
      <c r="I555" s="26"/>
      <c r="J555" s="30"/>
      <c r="K555" s="26"/>
      <c r="M555" s="30"/>
      <c r="O555" s="26"/>
      <c r="P555" s="31"/>
      <c r="Q555" s="31"/>
      <c r="R555" s="26"/>
      <c r="S555" s="26"/>
      <c r="T555" s="31"/>
      <c r="U555" s="26"/>
      <c r="V555" s="26">
        <f t="shared" si="50"/>
        <v>1</v>
      </c>
      <c r="W555" s="26">
        <f t="shared" ref="W555:W562" si="56">COUNTA(N555)</f>
        <v>0</v>
      </c>
      <c r="X555" s="26">
        <f>Data_Base[[#This Row],[B.N Total]]-Data_Base[[#This Row],[Nbre Brachements exécuté]]</f>
        <v>1</v>
      </c>
      <c r="Y555" s="26" t="str">
        <f t="shared" si="51"/>
        <v>lundi</v>
      </c>
      <c r="Z555" s="26" t="str">
        <f t="shared" si="52"/>
        <v>13</v>
      </c>
      <c r="AA555" s="26" t="str">
        <f t="shared" si="54"/>
        <v>05</v>
      </c>
      <c r="AB555" s="26" t="str">
        <f t="shared" si="53"/>
        <v>2024</v>
      </c>
    </row>
    <row r="556" spans="1:28" x14ac:dyDescent="0.25">
      <c r="A556" s="30">
        <v>45425</v>
      </c>
      <c r="B556" s="26" t="s">
        <v>1333</v>
      </c>
      <c r="C556" s="26" t="s">
        <v>2</v>
      </c>
      <c r="D556" s="26" t="s">
        <v>1334</v>
      </c>
      <c r="E556" s="26"/>
      <c r="G556" s="26"/>
      <c r="H556" s="26"/>
      <c r="I556" s="26"/>
      <c r="J556" s="30"/>
      <c r="K556" s="26"/>
      <c r="M556" s="30"/>
      <c r="O556" s="26"/>
      <c r="P556" s="31"/>
      <c r="Q556" s="31"/>
      <c r="R556" s="26"/>
      <c r="S556" s="26"/>
      <c r="T556" s="31"/>
      <c r="U556" s="26"/>
      <c r="V556" s="26">
        <f t="shared" si="50"/>
        <v>1</v>
      </c>
      <c r="W556" s="26">
        <f t="shared" si="56"/>
        <v>0</v>
      </c>
      <c r="X556" s="26">
        <f>Data_Base[[#This Row],[B.N Total]]-Data_Base[[#This Row],[Nbre Brachements exécuté]]</f>
        <v>1</v>
      </c>
      <c r="Y556" s="26" t="str">
        <f t="shared" si="51"/>
        <v>lundi</v>
      </c>
      <c r="Z556" s="26" t="str">
        <f t="shared" si="52"/>
        <v>13</v>
      </c>
      <c r="AA556" s="26" t="str">
        <f t="shared" si="54"/>
        <v>05</v>
      </c>
      <c r="AB556" s="26" t="str">
        <f t="shared" si="53"/>
        <v>2024</v>
      </c>
    </row>
    <row r="557" spans="1:28" x14ac:dyDescent="0.25">
      <c r="A557" s="30">
        <v>45425</v>
      </c>
      <c r="B557" s="26" t="s">
        <v>1335</v>
      </c>
      <c r="C557" s="26" t="s">
        <v>2</v>
      </c>
      <c r="D557" s="26" t="s">
        <v>1336</v>
      </c>
      <c r="E557" s="26"/>
      <c r="G557" s="26"/>
      <c r="H557" s="26"/>
      <c r="I557" s="26"/>
      <c r="J557" s="30"/>
      <c r="K557" s="26"/>
      <c r="M557" s="30"/>
      <c r="O557" s="26"/>
      <c r="P557" s="31"/>
      <c r="Q557" s="31"/>
      <c r="R557" s="26"/>
      <c r="S557" s="26"/>
      <c r="T557" s="31"/>
      <c r="U557" s="26"/>
      <c r="V557" s="26">
        <f t="shared" si="50"/>
        <v>1</v>
      </c>
      <c r="W557" s="26">
        <f t="shared" si="56"/>
        <v>0</v>
      </c>
      <c r="X557" s="26">
        <f>Data_Base[[#This Row],[B.N Total]]-Data_Base[[#This Row],[Nbre Brachements exécuté]]</f>
        <v>1</v>
      </c>
      <c r="Y557" s="26" t="str">
        <f t="shared" si="51"/>
        <v>lundi</v>
      </c>
      <c r="Z557" s="26" t="str">
        <f t="shared" si="52"/>
        <v>13</v>
      </c>
      <c r="AA557" s="26" t="str">
        <f t="shared" si="54"/>
        <v>05</v>
      </c>
      <c r="AB557" s="26" t="str">
        <f t="shared" si="53"/>
        <v>2024</v>
      </c>
    </row>
    <row r="558" spans="1:28" x14ac:dyDescent="0.25">
      <c r="A558" s="30">
        <v>45425</v>
      </c>
      <c r="B558" s="26" t="s">
        <v>1337</v>
      </c>
      <c r="C558" s="26" t="s">
        <v>2</v>
      </c>
      <c r="D558" s="26" t="s">
        <v>1338</v>
      </c>
      <c r="E558" s="26"/>
      <c r="G558" s="26"/>
      <c r="H558" s="26"/>
      <c r="I558" s="26"/>
      <c r="J558" s="30"/>
      <c r="K558" s="26"/>
      <c r="M558" s="30"/>
      <c r="O558" s="26"/>
      <c r="P558" s="31"/>
      <c r="Q558" s="31"/>
      <c r="R558" s="26"/>
      <c r="S558" s="26"/>
      <c r="T558" s="31"/>
      <c r="U558" s="26"/>
      <c r="V558" s="26">
        <f t="shared" si="50"/>
        <v>1</v>
      </c>
      <c r="W558" s="26">
        <f t="shared" si="56"/>
        <v>0</v>
      </c>
      <c r="X558" s="26">
        <f>Data_Base[[#This Row],[B.N Total]]-Data_Base[[#This Row],[Nbre Brachements exécuté]]</f>
        <v>1</v>
      </c>
      <c r="Y558" s="26" t="str">
        <f t="shared" si="51"/>
        <v>lundi</v>
      </c>
      <c r="Z558" s="26" t="str">
        <f t="shared" si="52"/>
        <v>13</v>
      </c>
      <c r="AA558" s="26" t="str">
        <f t="shared" si="54"/>
        <v>05</v>
      </c>
      <c r="AB558" s="26" t="str">
        <f t="shared" si="53"/>
        <v>2024</v>
      </c>
    </row>
    <row r="559" spans="1:28" ht="14.25" customHeight="1" x14ac:dyDescent="0.25">
      <c r="A559" s="30">
        <v>45425</v>
      </c>
      <c r="B559" s="26" t="s">
        <v>1339</v>
      </c>
      <c r="C559" s="26" t="s">
        <v>2</v>
      </c>
      <c r="D559" s="26" t="s">
        <v>1340</v>
      </c>
      <c r="E559" s="26"/>
      <c r="G559" s="26"/>
      <c r="H559" s="26"/>
      <c r="I559" s="26"/>
      <c r="J559" s="30"/>
      <c r="K559" s="26"/>
      <c r="M559" s="30"/>
      <c r="O559" s="26"/>
      <c r="P559" s="31"/>
      <c r="Q559" s="31"/>
      <c r="R559" s="26"/>
      <c r="S559" s="26"/>
      <c r="T559" s="31"/>
      <c r="U559" s="26"/>
      <c r="V559" s="26">
        <f t="shared" si="50"/>
        <v>1</v>
      </c>
      <c r="W559" s="26">
        <f t="shared" si="56"/>
        <v>0</v>
      </c>
      <c r="X559" s="26">
        <f>Data_Base[[#This Row],[B.N Total]]-Data_Base[[#This Row],[Nbre Brachements exécuté]]</f>
        <v>1</v>
      </c>
      <c r="Y559" s="26" t="str">
        <f t="shared" si="51"/>
        <v>lundi</v>
      </c>
      <c r="Z559" s="26" t="str">
        <f t="shared" si="52"/>
        <v>13</v>
      </c>
      <c r="AA559" s="26" t="str">
        <f t="shared" si="54"/>
        <v>05</v>
      </c>
      <c r="AB559" s="26" t="str">
        <f t="shared" si="53"/>
        <v>2024</v>
      </c>
    </row>
    <row r="560" spans="1:28" x14ac:dyDescent="0.25">
      <c r="A560" s="30">
        <v>45425</v>
      </c>
      <c r="B560" s="26" t="s">
        <v>1341</v>
      </c>
      <c r="C560" s="26" t="s">
        <v>2</v>
      </c>
      <c r="D560" s="26" t="s">
        <v>1342</v>
      </c>
      <c r="E560" s="26"/>
      <c r="G560" s="26"/>
      <c r="H560" s="26"/>
      <c r="I560" s="26"/>
      <c r="J560" s="30"/>
      <c r="K560" s="26"/>
      <c r="M560" s="30"/>
      <c r="O560" s="26"/>
      <c r="P560" s="31"/>
      <c r="Q560" s="31"/>
      <c r="R560" s="26"/>
      <c r="S560" s="26"/>
      <c r="T560" s="31"/>
      <c r="U560" s="26"/>
      <c r="V560" s="26">
        <f t="shared" si="50"/>
        <v>1</v>
      </c>
      <c r="W560" s="26">
        <f t="shared" si="56"/>
        <v>0</v>
      </c>
      <c r="X560" s="26">
        <f>Data_Base[[#This Row],[B.N Total]]-Data_Base[[#This Row],[Nbre Brachements exécuté]]</f>
        <v>1</v>
      </c>
      <c r="Y560" s="26" t="str">
        <f t="shared" si="51"/>
        <v>lundi</v>
      </c>
      <c r="Z560" s="26" t="str">
        <f t="shared" si="52"/>
        <v>13</v>
      </c>
      <c r="AA560" s="26" t="str">
        <f t="shared" si="54"/>
        <v>05</v>
      </c>
      <c r="AB560" s="26" t="str">
        <f t="shared" si="53"/>
        <v>2024</v>
      </c>
    </row>
    <row r="561" spans="1:28" x14ac:dyDescent="0.25">
      <c r="A561" s="30">
        <v>45425</v>
      </c>
      <c r="B561" s="26" t="s">
        <v>1343</v>
      </c>
      <c r="C561" s="26" t="s">
        <v>2</v>
      </c>
      <c r="D561" s="26" t="s">
        <v>1344</v>
      </c>
      <c r="E561" s="26"/>
      <c r="G561" s="26"/>
      <c r="H561" s="26"/>
      <c r="I561" s="26"/>
      <c r="J561" s="30"/>
      <c r="K561" s="26"/>
      <c r="M561" s="30"/>
      <c r="O561" s="26"/>
      <c r="P561" s="31"/>
      <c r="Q561" s="31"/>
      <c r="R561" s="26"/>
      <c r="S561" s="26"/>
      <c r="T561" s="31"/>
      <c r="U561" s="26"/>
      <c r="V561" s="26">
        <f t="shared" si="50"/>
        <v>1</v>
      </c>
      <c r="W561" s="26">
        <f t="shared" si="56"/>
        <v>0</v>
      </c>
      <c r="X561" s="26">
        <f>Data_Base[[#This Row],[B.N Total]]-Data_Base[[#This Row],[Nbre Brachements exécuté]]</f>
        <v>1</v>
      </c>
      <c r="Y561" s="26" t="str">
        <f t="shared" si="51"/>
        <v>lundi</v>
      </c>
      <c r="Z561" s="26" t="str">
        <f t="shared" si="52"/>
        <v>13</v>
      </c>
      <c r="AA561" s="26" t="str">
        <f t="shared" si="54"/>
        <v>05</v>
      </c>
      <c r="AB561" s="26" t="str">
        <f t="shared" si="53"/>
        <v>2024</v>
      </c>
    </row>
    <row r="562" spans="1:28" x14ac:dyDescent="0.25">
      <c r="A562" s="30">
        <v>45425</v>
      </c>
      <c r="B562" s="26" t="s">
        <v>1345</v>
      </c>
      <c r="C562" s="26" t="s">
        <v>2</v>
      </c>
      <c r="D562" s="26" t="s">
        <v>1346</v>
      </c>
      <c r="E562" s="26"/>
      <c r="F562" s="28">
        <v>675135472</v>
      </c>
      <c r="G562" s="26" t="s">
        <v>160</v>
      </c>
      <c r="H562" s="26" t="s">
        <v>161</v>
      </c>
      <c r="I562" s="26" t="s">
        <v>586</v>
      </c>
      <c r="J562" s="30">
        <v>45425</v>
      </c>
      <c r="K562" s="26" t="s">
        <v>546</v>
      </c>
      <c r="M562" s="30"/>
      <c r="O562" s="26"/>
      <c r="P562" s="31"/>
      <c r="Q562" s="31"/>
      <c r="R562" s="26"/>
      <c r="S562" s="26"/>
      <c r="T562" s="31"/>
      <c r="U562" s="26"/>
      <c r="V562" s="26">
        <f t="shared" si="50"/>
        <v>1</v>
      </c>
      <c r="W562" s="26">
        <f t="shared" si="56"/>
        <v>0</v>
      </c>
      <c r="X562" s="26">
        <f>Data_Base[[#This Row],[B.N Total]]-Data_Base[[#This Row],[Nbre Brachements exécuté]]</f>
        <v>1</v>
      </c>
      <c r="Y562" s="26" t="str">
        <f t="shared" si="51"/>
        <v>lundi</v>
      </c>
      <c r="Z562" s="26" t="str">
        <f t="shared" si="52"/>
        <v>13</v>
      </c>
      <c r="AA562" s="26" t="str">
        <f t="shared" si="54"/>
        <v>05</v>
      </c>
      <c r="AB562" s="26" t="str">
        <f t="shared" si="53"/>
        <v>2024</v>
      </c>
    </row>
  </sheetData>
  <sheetProtection algorithmName="SHA-512" hashValue="28b/SRbR6SnynlAhsDtQp1abzIWf+ca4LGbSJaPCLZRZ2/wOqROdoL+64LVi4PUEUWc9p6QzhQd9BGc3b543eA==" saltValue="isj2QWQNbkA58Lp0PktL2A==" spinCount="100000" sheet="1" objects="1" scenarios="1" selectLockedCells="1" sort="0" autoFilter="0" pivotTables="0"/>
  <dataValidations count="1">
    <dataValidation type="date" allowBlank="1" showInputMessage="1" showErrorMessage="1" error="Date Incorrecte_x000a__x000a_Les  dates vont du 01/01/2024 au 01/12/2035" prompt="Les  dates vont du 01/01/2024 au 01/12/2035" sqref="A1:A1048576 J1:J1048576 M1:M1048576" xr:uid="{73BDF942-F86D-45BE-B151-12E7E6C33765}">
      <formula1>45292</formula1>
      <formula2>49674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Agences" error="Choisir l'élement de la liste" prompt="Choisir l'élement de la liste" xr:uid="{C6E8725B-56AB-458C-9F66-FDEBE7063EC7}">
          <x14:formula1>
            <xm:f>'TCD '!$B$30:$B$32</xm:f>
          </x14:formula1>
          <xm:sqref>C2:C562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6CA7704AB62546B6C3C42147285715" ma:contentTypeVersion="9" ma:contentTypeDescription="Create a new document." ma:contentTypeScope="" ma:versionID="d0efdd22d61b59cd69439fd2a3e233b6">
  <xsd:schema xmlns:xsd="http://www.w3.org/2001/XMLSchema" xmlns:xs="http://www.w3.org/2001/XMLSchema" xmlns:p="http://schemas.microsoft.com/office/2006/metadata/properties" xmlns:ns3="e69d96e8-a4da-45a7-94e9-4e630d5cf31d" targetNamespace="http://schemas.microsoft.com/office/2006/metadata/properties" ma:root="true" ma:fieldsID="4ed33e8a1ff2b4331831fee57fa7e59a" ns3:_="">
    <xsd:import namespace="e69d96e8-a4da-45a7-94e9-4e630d5cf31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9d96e8-a4da-45a7-94e9-4e630d5cf3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671A9F-5DFD-4B4D-9850-D12A40FCC896}">
  <ds:schemaRefs>
    <ds:schemaRef ds:uri="http://schemas.microsoft.com/office/2006/documentManagement/types"/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e69d96e8-a4da-45a7-94e9-4e630d5cf31d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8FE15BB-BA99-4969-A1B4-9C1493E09F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9d96e8-a4da-45a7-94e9-4e630d5cf3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A2831DE-D4D3-4F33-BA69-E72149DF9AB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TCD </vt:lpstr>
      <vt:lpstr>Dashboard </vt:lpstr>
      <vt:lpstr>BRANCH NEUF DEC SUD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raphael.pameni</dc:creator>
  <cp:lastModifiedBy>JEAN RODRIGUE AWONO</cp:lastModifiedBy>
  <dcterms:created xsi:type="dcterms:W3CDTF">2024-03-29T11:20:22Z</dcterms:created>
  <dcterms:modified xsi:type="dcterms:W3CDTF">2024-05-15T04:33:38Z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0x010100516CA7704AB62546B6C3C42147285715</vt:lpwstr>
  </property>
</Properties>
</file>