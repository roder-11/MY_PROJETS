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12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DEMY\Mes dashbords\My_Projets\EXCEL\"/>
    </mc:Choice>
  </mc:AlternateContent>
  <xr:revisionPtr revIDLastSave="0" documentId="13_ncr:1_{434E5A2F-5F75-4585-8A7D-8E6F179C112C}" xr6:coauthVersionLast="47" xr6:coauthVersionMax="47" xr10:uidLastSave="{00000000-0000-0000-0000-000000000000}"/>
  <workbookProtection workbookAlgorithmName="SHA-512" workbookHashValue="SRmpKanz9JrqUgM58fQrRAXCQMkf0FaAAeJR4JT1CdNF+W5OOI1B5CoFi/+yINJp8GDRUNnf3+cpBckTKZ3rTg==" workbookSaltValue="qASHtQN6xIHDGALEmpDsug==" workbookSpinCount="100000" lockStructure="1"/>
  <bookViews>
    <workbookView xWindow="-120" yWindow="-120" windowWidth="20730" windowHeight="11040" firstSheet="1" activeTab="1" xr2:uid="{5B55B601-0B59-409F-AF6F-0E4FEB7A0098}"/>
  </bookViews>
  <sheets>
    <sheet name="TCD " sheetId="9" state="hidden" r:id="rId1"/>
    <sheet name="Dashboard " sheetId="10" r:id="rId2"/>
    <sheet name="NORMALISATIONS DEC SUD" sheetId="8" r:id="rId3"/>
    <sheet name="Liste" sheetId="11" state="hidden" r:id="rId4"/>
  </sheets>
  <definedNames>
    <definedName name="_xlcn.WorksheetConnection_DATABASEBRANCH_NORMABT_DECSUD.xlsxTableau21" hidden="1">'NORMALISATIONS DEC SUD'!$A$1:$AC$199</definedName>
    <definedName name="_xlcn.WorksheetConnection_DATABASESUIVIBRANCHEMENTSNEUFS_2.xlsmData_Base1" hidden="1">Data_Base_Normalisation[]</definedName>
    <definedName name="Segment_AGENCE">#N/A</definedName>
    <definedName name="Segment_Année1">#N/A</definedName>
    <definedName name="Segment_ANOMALIE_SIGNALEE">#N/A</definedName>
    <definedName name="Segment_ENTREPRISE_EN_CHARGE">#N/A</definedName>
    <definedName name="Segment_Jours">#N/A</definedName>
    <definedName name="Segment_Mois">#N/A</definedName>
  </definedNames>
  <calcPr calcId="191029" concurrentCalc="0"/>
  <pivotCaches>
    <pivotCache cacheId="0" r:id="rId5"/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Base" name="Data_Base" connection="WorksheetConnection_DATA BASE SUIVI BRANCHEMENTS NEUFS_2.xlsm!Data_Base"/>
          <x15:modelTable id="Tableau2" name="Tableau2" connection="WorksheetConnection_DATA BASE BRANCH_NORMA BT_DEC SUD.xlsx!Tableau2"/>
        </x15:modelTables>
        <x15:extLst>
          <ext xmlns:x16="http://schemas.microsoft.com/office/spreadsheetml/2014/11/main" uri="{9835A34E-60A6-4A7C-AAB8-D5F71C897F49}">
            <x16:modelTimeGroupings>
              <x16:modelTimeGrouping tableName="Data_Base" columnName="DATE D'ENTREE" columnId="DATE RECEPTION">
                <x16:calculatedTimeColumn columnName="DATE RECEPTION (index des mois)" columnId="DATE RECEPTION (index des mois)" contentType="monthsindex" isSelected="1"/>
                <x16:calculatedTimeColumn columnName="DATE RECEPTION (mois)" columnId="DATE RECEPTION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0" l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" i="8"/>
  <c r="AB3" i="8"/>
  <c r="AB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AB105" i="8"/>
  <c r="AB106" i="8"/>
  <c r="AB107" i="8"/>
  <c r="AB108" i="8"/>
  <c r="AB109" i="8"/>
  <c r="AB110" i="8"/>
  <c r="AB111" i="8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" i="8"/>
  <c r="AA3" i="8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" i="8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" i="8"/>
  <c r="W3" i="8"/>
  <c r="X3" i="8"/>
  <c r="Y3" i="8"/>
  <c r="W4" i="8"/>
  <c r="X4" i="8"/>
  <c r="Y4" i="8"/>
  <c r="W5" i="8"/>
  <c r="X5" i="8"/>
  <c r="Y5" i="8"/>
  <c r="W6" i="8"/>
  <c r="X6" i="8"/>
  <c r="Y6" i="8"/>
  <c r="W7" i="8"/>
  <c r="X7" i="8"/>
  <c r="Y7" i="8"/>
  <c r="W8" i="8"/>
  <c r="X8" i="8"/>
  <c r="Y8" i="8"/>
  <c r="W9" i="8"/>
  <c r="X9" i="8"/>
  <c r="Y9" i="8"/>
  <c r="W10" i="8"/>
  <c r="X10" i="8"/>
  <c r="Y10" i="8"/>
  <c r="W11" i="8"/>
  <c r="X11" i="8"/>
  <c r="Y11" i="8"/>
  <c r="W12" i="8"/>
  <c r="X12" i="8"/>
  <c r="Y12" i="8"/>
  <c r="W13" i="8"/>
  <c r="X13" i="8"/>
  <c r="Y13" i="8"/>
  <c r="W14" i="8"/>
  <c r="X14" i="8"/>
  <c r="Y14" i="8"/>
  <c r="W15" i="8"/>
  <c r="X15" i="8"/>
  <c r="Y15" i="8"/>
  <c r="W16" i="8"/>
  <c r="X16" i="8"/>
  <c r="Y16" i="8"/>
  <c r="W17" i="8"/>
  <c r="X17" i="8"/>
  <c r="Y17" i="8"/>
  <c r="W18" i="8"/>
  <c r="X18" i="8"/>
  <c r="Y18" i="8"/>
  <c r="W19" i="8"/>
  <c r="X19" i="8"/>
  <c r="Y19" i="8"/>
  <c r="W20" i="8"/>
  <c r="X20" i="8"/>
  <c r="Y20" i="8"/>
  <c r="W21" i="8"/>
  <c r="X21" i="8"/>
  <c r="Y21" i="8"/>
  <c r="W22" i="8"/>
  <c r="X22" i="8"/>
  <c r="Y22" i="8"/>
  <c r="W23" i="8"/>
  <c r="X23" i="8"/>
  <c r="Y23" i="8"/>
  <c r="W24" i="8"/>
  <c r="X24" i="8"/>
  <c r="Y24" i="8"/>
  <c r="W25" i="8"/>
  <c r="X25" i="8"/>
  <c r="Y25" i="8"/>
  <c r="W26" i="8"/>
  <c r="X26" i="8"/>
  <c r="Y26" i="8"/>
  <c r="W27" i="8"/>
  <c r="X27" i="8"/>
  <c r="Y27" i="8"/>
  <c r="W28" i="8"/>
  <c r="X28" i="8"/>
  <c r="Y28" i="8"/>
  <c r="W29" i="8"/>
  <c r="X29" i="8"/>
  <c r="Y29" i="8"/>
  <c r="W30" i="8"/>
  <c r="X30" i="8"/>
  <c r="Y30" i="8"/>
  <c r="W31" i="8"/>
  <c r="X31" i="8"/>
  <c r="Y31" i="8"/>
  <c r="W32" i="8"/>
  <c r="X32" i="8"/>
  <c r="Y32" i="8"/>
  <c r="W33" i="8"/>
  <c r="X33" i="8"/>
  <c r="Y33" i="8"/>
  <c r="W34" i="8"/>
  <c r="X34" i="8"/>
  <c r="Y34" i="8"/>
  <c r="W35" i="8"/>
  <c r="X35" i="8"/>
  <c r="Y35" i="8"/>
  <c r="W36" i="8"/>
  <c r="X36" i="8"/>
  <c r="Y36" i="8"/>
  <c r="W37" i="8"/>
  <c r="X37" i="8"/>
  <c r="Y37" i="8"/>
  <c r="W38" i="8"/>
  <c r="X38" i="8"/>
  <c r="Y38" i="8"/>
  <c r="W39" i="8"/>
  <c r="X39" i="8"/>
  <c r="Y39" i="8"/>
  <c r="W40" i="8"/>
  <c r="X40" i="8"/>
  <c r="Y40" i="8"/>
  <c r="W41" i="8"/>
  <c r="X41" i="8"/>
  <c r="Y41" i="8"/>
  <c r="W42" i="8"/>
  <c r="X42" i="8"/>
  <c r="Y42" i="8"/>
  <c r="W43" i="8"/>
  <c r="X43" i="8"/>
  <c r="Y43" i="8"/>
  <c r="W44" i="8"/>
  <c r="X44" i="8"/>
  <c r="Y44" i="8"/>
  <c r="W45" i="8"/>
  <c r="X45" i="8"/>
  <c r="Y45" i="8"/>
  <c r="W46" i="8"/>
  <c r="X46" i="8"/>
  <c r="Y46" i="8"/>
  <c r="W47" i="8"/>
  <c r="X47" i="8"/>
  <c r="Y47" i="8"/>
  <c r="W48" i="8"/>
  <c r="X48" i="8"/>
  <c r="Y48" i="8"/>
  <c r="W49" i="8"/>
  <c r="X49" i="8"/>
  <c r="Y49" i="8"/>
  <c r="W50" i="8"/>
  <c r="X50" i="8"/>
  <c r="Y50" i="8"/>
  <c r="W51" i="8"/>
  <c r="X51" i="8"/>
  <c r="Y51" i="8"/>
  <c r="W52" i="8"/>
  <c r="X52" i="8"/>
  <c r="Y52" i="8"/>
  <c r="W53" i="8"/>
  <c r="X53" i="8"/>
  <c r="Y53" i="8"/>
  <c r="W54" i="8"/>
  <c r="X54" i="8"/>
  <c r="Y54" i="8"/>
  <c r="W55" i="8"/>
  <c r="X55" i="8"/>
  <c r="Y55" i="8"/>
  <c r="W56" i="8"/>
  <c r="X56" i="8"/>
  <c r="Y56" i="8"/>
  <c r="W57" i="8"/>
  <c r="X57" i="8"/>
  <c r="Y57" i="8"/>
  <c r="W58" i="8"/>
  <c r="X58" i="8"/>
  <c r="Y58" i="8"/>
  <c r="W59" i="8"/>
  <c r="X59" i="8"/>
  <c r="Y59" i="8"/>
  <c r="W60" i="8"/>
  <c r="X60" i="8"/>
  <c r="Y60" i="8"/>
  <c r="W61" i="8"/>
  <c r="X61" i="8"/>
  <c r="Y61" i="8"/>
  <c r="W62" i="8"/>
  <c r="X62" i="8"/>
  <c r="Y62" i="8"/>
  <c r="W63" i="8"/>
  <c r="X63" i="8"/>
  <c r="Y63" i="8"/>
  <c r="W64" i="8"/>
  <c r="X64" i="8"/>
  <c r="Y64" i="8"/>
  <c r="W65" i="8"/>
  <c r="X65" i="8"/>
  <c r="Y65" i="8"/>
  <c r="W66" i="8"/>
  <c r="X66" i="8"/>
  <c r="Y66" i="8"/>
  <c r="W67" i="8"/>
  <c r="X67" i="8"/>
  <c r="Y67" i="8"/>
  <c r="W68" i="8"/>
  <c r="X68" i="8"/>
  <c r="Y68" i="8"/>
  <c r="W69" i="8"/>
  <c r="X69" i="8"/>
  <c r="Y69" i="8"/>
  <c r="W70" i="8"/>
  <c r="X70" i="8"/>
  <c r="Y70" i="8"/>
  <c r="W71" i="8"/>
  <c r="X71" i="8"/>
  <c r="Y71" i="8"/>
  <c r="W72" i="8"/>
  <c r="X72" i="8"/>
  <c r="Y72" i="8"/>
  <c r="W73" i="8"/>
  <c r="X73" i="8"/>
  <c r="Y73" i="8"/>
  <c r="W74" i="8"/>
  <c r="X74" i="8"/>
  <c r="Y74" i="8"/>
  <c r="W75" i="8"/>
  <c r="X75" i="8"/>
  <c r="Y75" i="8"/>
  <c r="W76" i="8"/>
  <c r="X76" i="8"/>
  <c r="Y76" i="8"/>
  <c r="W77" i="8"/>
  <c r="X77" i="8"/>
  <c r="Y77" i="8"/>
  <c r="W78" i="8"/>
  <c r="X78" i="8"/>
  <c r="Y78" i="8"/>
  <c r="W79" i="8"/>
  <c r="X79" i="8"/>
  <c r="Y79" i="8"/>
  <c r="W80" i="8"/>
  <c r="X80" i="8"/>
  <c r="Y80" i="8"/>
  <c r="W81" i="8"/>
  <c r="X81" i="8"/>
  <c r="Y81" i="8"/>
  <c r="W82" i="8"/>
  <c r="X82" i="8"/>
  <c r="Y82" i="8"/>
  <c r="W83" i="8"/>
  <c r="X83" i="8"/>
  <c r="Y83" i="8"/>
  <c r="W84" i="8"/>
  <c r="X84" i="8"/>
  <c r="Y84" i="8"/>
  <c r="W85" i="8"/>
  <c r="X85" i="8"/>
  <c r="Y85" i="8"/>
  <c r="W86" i="8"/>
  <c r="X86" i="8"/>
  <c r="Y86" i="8"/>
  <c r="W87" i="8"/>
  <c r="X87" i="8"/>
  <c r="Y87" i="8"/>
  <c r="W88" i="8"/>
  <c r="X88" i="8"/>
  <c r="Y88" i="8"/>
  <c r="W89" i="8"/>
  <c r="X89" i="8"/>
  <c r="Y89" i="8"/>
  <c r="W90" i="8"/>
  <c r="X90" i="8"/>
  <c r="Y90" i="8"/>
  <c r="W91" i="8"/>
  <c r="X91" i="8"/>
  <c r="Y91" i="8"/>
  <c r="W92" i="8"/>
  <c r="X92" i="8"/>
  <c r="Y92" i="8"/>
  <c r="W93" i="8"/>
  <c r="X93" i="8"/>
  <c r="Y93" i="8"/>
  <c r="W94" i="8"/>
  <c r="X94" i="8"/>
  <c r="Y94" i="8"/>
  <c r="W95" i="8"/>
  <c r="X95" i="8"/>
  <c r="Y95" i="8"/>
  <c r="W96" i="8"/>
  <c r="X96" i="8"/>
  <c r="Y96" i="8"/>
  <c r="W97" i="8"/>
  <c r="X97" i="8"/>
  <c r="Y97" i="8"/>
  <c r="W98" i="8"/>
  <c r="X98" i="8"/>
  <c r="Y98" i="8"/>
  <c r="W99" i="8"/>
  <c r="X99" i="8"/>
  <c r="Y99" i="8"/>
  <c r="W100" i="8"/>
  <c r="X100" i="8"/>
  <c r="Y100" i="8"/>
  <c r="W101" i="8"/>
  <c r="X101" i="8"/>
  <c r="Y101" i="8"/>
  <c r="W102" i="8"/>
  <c r="X102" i="8"/>
  <c r="Y102" i="8"/>
  <c r="W103" i="8"/>
  <c r="X103" i="8"/>
  <c r="Y103" i="8"/>
  <c r="W104" i="8"/>
  <c r="X104" i="8"/>
  <c r="Y104" i="8"/>
  <c r="W105" i="8"/>
  <c r="X105" i="8"/>
  <c r="Y105" i="8"/>
  <c r="W106" i="8"/>
  <c r="X106" i="8"/>
  <c r="Y106" i="8"/>
  <c r="W107" i="8"/>
  <c r="X107" i="8"/>
  <c r="Y107" i="8"/>
  <c r="W108" i="8"/>
  <c r="X108" i="8"/>
  <c r="Y108" i="8"/>
  <c r="W109" i="8"/>
  <c r="X109" i="8"/>
  <c r="Y109" i="8"/>
  <c r="W110" i="8"/>
  <c r="X110" i="8"/>
  <c r="Y110" i="8"/>
  <c r="W111" i="8"/>
  <c r="X111" i="8"/>
  <c r="Y111" i="8"/>
  <c r="W112" i="8"/>
  <c r="X112" i="8"/>
  <c r="Y112" i="8"/>
  <c r="W113" i="8"/>
  <c r="X113" i="8"/>
  <c r="Y113" i="8"/>
  <c r="W114" i="8"/>
  <c r="X114" i="8"/>
  <c r="Y114" i="8"/>
  <c r="W115" i="8"/>
  <c r="X115" i="8"/>
  <c r="Y115" i="8"/>
  <c r="W116" i="8"/>
  <c r="X116" i="8"/>
  <c r="Y116" i="8"/>
  <c r="W117" i="8"/>
  <c r="X117" i="8"/>
  <c r="Y117" i="8"/>
  <c r="W118" i="8"/>
  <c r="X118" i="8"/>
  <c r="Y118" i="8"/>
  <c r="W119" i="8"/>
  <c r="X119" i="8"/>
  <c r="Y119" i="8"/>
  <c r="W120" i="8"/>
  <c r="X120" i="8"/>
  <c r="Y120" i="8"/>
  <c r="W121" i="8"/>
  <c r="X121" i="8"/>
  <c r="Y121" i="8"/>
  <c r="W122" i="8"/>
  <c r="X122" i="8"/>
  <c r="Y122" i="8"/>
  <c r="W123" i="8"/>
  <c r="X123" i="8"/>
  <c r="Y123" i="8"/>
  <c r="W124" i="8"/>
  <c r="X124" i="8"/>
  <c r="Y124" i="8"/>
  <c r="W125" i="8"/>
  <c r="X125" i="8"/>
  <c r="Y125" i="8"/>
  <c r="W126" i="8"/>
  <c r="X126" i="8"/>
  <c r="Y126" i="8"/>
  <c r="W127" i="8"/>
  <c r="X127" i="8"/>
  <c r="Y127" i="8"/>
  <c r="W128" i="8"/>
  <c r="X128" i="8"/>
  <c r="Y128" i="8"/>
  <c r="W129" i="8"/>
  <c r="X129" i="8"/>
  <c r="Y129" i="8"/>
  <c r="W130" i="8"/>
  <c r="X130" i="8"/>
  <c r="Y130" i="8"/>
  <c r="W131" i="8"/>
  <c r="X131" i="8"/>
  <c r="Y131" i="8"/>
  <c r="W132" i="8"/>
  <c r="X132" i="8"/>
  <c r="Y132" i="8"/>
  <c r="W133" i="8"/>
  <c r="X133" i="8"/>
  <c r="Y133" i="8"/>
  <c r="W134" i="8"/>
  <c r="X134" i="8"/>
  <c r="Y134" i="8"/>
  <c r="W135" i="8"/>
  <c r="X135" i="8"/>
  <c r="Y135" i="8"/>
  <c r="W136" i="8"/>
  <c r="X136" i="8"/>
  <c r="Y136" i="8"/>
  <c r="W137" i="8"/>
  <c r="X137" i="8"/>
  <c r="Y137" i="8"/>
  <c r="W138" i="8"/>
  <c r="X138" i="8"/>
  <c r="Y138" i="8"/>
  <c r="W139" i="8"/>
  <c r="X139" i="8"/>
  <c r="Y139" i="8"/>
  <c r="W140" i="8"/>
  <c r="X140" i="8"/>
  <c r="Y140" i="8"/>
  <c r="W141" i="8"/>
  <c r="X141" i="8"/>
  <c r="Y141" i="8"/>
  <c r="W142" i="8"/>
  <c r="X142" i="8"/>
  <c r="Y142" i="8"/>
  <c r="W143" i="8"/>
  <c r="X143" i="8"/>
  <c r="Y143" i="8"/>
  <c r="W144" i="8"/>
  <c r="X144" i="8"/>
  <c r="Y144" i="8"/>
  <c r="W145" i="8"/>
  <c r="X145" i="8"/>
  <c r="Y145" i="8"/>
  <c r="W146" i="8"/>
  <c r="X146" i="8"/>
  <c r="Y146" i="8"/>
  <c r="W147" i="8"/>
  <c r="X147" i="8"/>
  <c r="Y147" i="8"/>
  <c r="W148" i="8"/>
  <c r="X148" i="8"/>
  <c r="Y148" i="8"/>
  <c r="W149" i="8"/>
  <c r="X149" i="8"/>
  <c r="Y149" i="8"/>
  <c r="W150" i="8"/>
  <c r="X150" i="8"/>
  <c r="Y150" i="8"/>
  <c r="W151" i="8"/>
  <c r="X151" i="8"/>
  <c r="Y151" i="8"/>
  <c r="W152" i="8"/>
  <c r="X152" i="8"/>
  <c r="Y152" i="8"/>
  <c r="W153" i="8"/>
  <c r="X153" i="8"/>
  <c r="Y153" i="8"/>
  <c r="W154" i="8"/>
  <c r="X154" i="8"/>
  <c r="Y154" i="8"/>
  <c r="W155" i="8"/>
  <c r="X155" i="8"/>
  <c r="Y155" i="8"/>
  <c r="W156" i="8"/>
  <c r="X156" i="8"/>
  <c r="Y156" i="8"/>
  <c r="W157" i="8"/>
  <c r="X157" i="8"/>
  <c r="Y157" i="8"/>
  <c r="W158" i="8"/>
  <c r="X158" i="8"/>
  <c r="Y158" i="8"/>
  <c r="W159" i="8"/>
  <c r="X159" i="8"/>
  <c r="Y159" i="8"/>
  <c r="W160" i="8"/>
  <c r="X160" i="8"/>
  <c r="Y160" i="8"/>
  <c r="W161" i="8"/>
  <c r="X161" i="8"/>
  <c r="Y161" i="8"/>
  <c r="W162" i="8"/>
  <c r="X162" i="8"/>
  <c r="Y162" i="8"/>
  <c r="W163" i="8"/>
  <c r="X163" i="8"/>
  <c r="Y163" i="8"/>
  <c r="W164" i="8"/>
  <c r="X164" i="8"/>
  <c r="Y164" i="8"/>
  <c r="W165" i="8"/>
  <c r="X165" i="8"/>
  <c r="Y165" i="8"/>
  <c r="W166" i="8"/>
  <c r="X166" i="8"/>
  <c r="Y166" i="8"/>
  <c r="W167" i="8"/>
  <c r="X167" i="8"/>
  <c r="Y167" i="8"/>
  <c r="W168" i="8"/>
  <c r="X168" i="8"/>
  <c r="Y168" i="8"/>
  <c r="W169" i="8"/>
  <c r="X169" i="8"/>
  <c r="Y169" i="8"/>
  <c r="W170" i="8"/>
  <c r="X170" i="8"/>
  <c r="Y170" i="8"/>
  <c r="W171" i="8"/>
  <c r="X171" i="8"/>
  <c r="Y171" i="8"/>
  <c r="W172" i="8"/>
  <c r="X172" i="8"/>
  <c r="Y172" i="8"/>
  <c r="W173" i="8"/>
  <c r="X173" i="8"/>
  <c r="Y173" i="8"/>
  <c r="W174" i="8"/>
  <c r="X174" i="8"/>
  <c r="Y174" i="8"/>
  <c r="W175" i="8"/>
  <c r="X175" i="8"/>
  <c r="Y175" i="8"/>
  <c r="W176" i="8"/>
  <c r="X176" i="8"/>
  <c r="Y176" i="8"/>
  <c r="W177" i="8"/>
  <c r="X177" i="8"/>
  <c r="Y177" i="8"/>
  <c r="W178" i="8"/>
  <c r="X178" i="8"/>
  <c r="Y178" i="8"/>
  <c r="W179" i="8"/>
  <c r="X179" i="8"/>
  <c r="Y179" i="8"/>
  <c r="W180" i="8"/>
  <c r="X180" i="8"/>
  <c r="Y180" i="8"/>
  <c r="W181" i="8"/>
  <c r="X181" i="8"/>
  <c r="Y181" i="8"/>
  <c r="W182" i="8"/>
  <c r="X182" i="8"/>
  <c r="Y182" i="8"/>
  <c r="W183" i="8"/>
  <c r="X183" i="8"/>
  <c r="Y183" i="8"/>
  <c r="W184" i="8"/>
  <c r="X184" i="8"/>
  <c r="Y184" i="8"/>
  <c r="W185" i="8"/>
  <c r="X185" i="8"/>
  <c r="Y185" i="8"/>
  <c r="W186" i="8"/>
  <c r="X186" i="8"/>
  <c r="Y186" i="8"/>
  <c r="W187" i="8"/>
  <c r="X187" i="8"/>
  <c r="Y187" i="8"/>
  <c r="W188" i="8"/>
  <c r="X188" i="8"/>
  <c r="Y188" i="8"/>
  <c r="W189" i="8"/>
  <c r="X189" i="8"/>
  <c r="Y189" i="8"/>
  <c r="W190" i="8"/>
  <c r="X190" i="8"/>
  <c r="Y190" i="8"/>
  <c r="W191" i="8"/>
  <c r="X191" i="8"/>
  <c r="Y191" i="8"/>
  <c r="W192" i="8"/>
  <c r="X192" i="8"/>
  <c r="Y192" i="8"/>
  <c r="W193" i="8"/>
  <c r="X193" i="8"/>
  <c r="Y193" i="8"/>
  <c r="W194" i="8"/>
  <c r="X194" i="8"/>
  <c r="Y194" i="8"/>
  <c r="W195" i="8"/>
  <c r="X195" i="8"/>
  <c r="Y195" i="8"/>
  <c r="W196" i="8"/>
  <c r="X196" i="8"/>
  <c r="Y196" i="8"/>
  <c r="W197" i="8"/>
  <c r="X197" i="8"/>
  <c r="Y197" i="8"/>
  <c r="W198" i="8"/>
  <c r="X198" i="8"/>
  <c r="Y198" i="8"/>
  <c r="W199" i="8"/>
  <c r="X199" i="8"/>
  <c r="Y199" i="8"/>
  <c r="W2" i="8"/>
  <c r="X2" i="8"/>
  <c r="Y2" i="8"/>
  <c r="H3" i="9"/>
  <c r="G3" i="9"/>
  <c r="G4" i="9"/>
  <c r="I3" i="9"/>
  <c r="I4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BA111E-4210-4BEE-80CB-8DD398279365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ABEB849-C4EE-46D3-9FF1-88B82F3AA203}" name="WorksheetConnection_DATA BASE BRANCH_NORMA BT_DEC SUD.xlsx!Tableau2" type="102" refreshedVersion="6" minRefreshableVersion="5">
    <extLst>
      <ext xmlns:x15="http://schemas.microsoft.com/office/spreadsheetml/2010/11/main" uri="{DE250136-89BD-433C-8126-D09CA5730AF9}">
        <x15:connection id="Tableau2" autoDelete="1">
          <x15:rangePr sourceName="_xlcn.WorksheetConnection_DATABASEBRANCH_NORMABT_DECSUD.xlsxTableau21"/>
        </x15:connection>
      </ext>
    </extLst>
  </connection>
  <connection id="3" xr16:uid="{7433383C-4CCE-42CA-9653-BF7085216B5F}" name="WorksheetConnection_DATA BASE SUIVI BRANCHEMENTS NEUFS_2.xlsm!Data_Base" type="102" refreshedVersion="8" minRefreshableVersion="5">
    <extLst>
      <ext xmlns:x15="http://schemas.microsoft.com/office/spreadsheetml/2010/11/main" uri="{DE250136-89BD-433C-8126-D09CA5730AF9}">
        <x15:connection id="Data_Base" autoDelete="1">
          <x15:rangePr sourceName="_xlcn.WorksheetConnection_DATABASESUIVIBRANCHEMENTSNEUFS_2.xlsmData_Base1"/>
        </x15:connection>
      </ext>
    </extLst>
  </connection>
</connections>
</file>

<file path=xl/sharedStrings.xml><?xml version="1.0" encoding="utf-8"?>
<sst xmlns="http://schemas.openxmlformats.org/spreadsheetml/2006/main" count="2199" uniqueCount="939">
  <si>
    <t>NOM DU CLIENT</t>
  </si>
  <si>
    <t>AKWA</t>
  </si>
  <si>
    <t>TYPE DE COMPTEUR</t>
  </si>
  <si>
    <t>ACTIVITE CLIENT</t>
  </si>
  <si>
    <t>N° TELEPHONE CLIENT</t>
  </si>
  <si>
    <t>DATE PREVUE TRAVAUX</t>
  </si>
  <si>
    <t>RECOMMANDATIONS</t>
  </si>
  <si>
    <t>AGENCE</t>
  </si>
  <si>
    <t>EQUIPE D'INTERVENTIONS</t>
  </si>
  <si>
    <t>KOUMASSI</t>
  </si>
  <si>
    <t>EWANE</t>
  </si>
  <si>
    <t>12/04/2024</t>
  </si>
  <si>
    <t>DOUFANG</t>
  </si>
  <si>
    <t>SAMAGA</t>
  </si>
  <si>
    <t>MOUNGUI</t>
  </si>
  <si>
    <t>ZE BIDJA</t>
  </si>
  <si>
    <t>650553910</t>
  </si>
  <si>
    <t>15/04/2024</t>
  </si>
  <si>
    <t>696211981</t>
  </si>
  <si>
    <t>MFOUAPON</t>
  </si>
  <si>
    <t>KOM</t>
  </si>
  <si>
    <t>YOUMCHAKOU</t>
  </si>
  <si>
    <t>690045470</t>
  </si>
  <si>
    <t>Total général</t>
  </si>
  <si>
    <t>Mois</t>
  </si>
  <si>
    <t>Jours</t>
  </si>
  <si>
    <t>Année</t>
  </si>
  <si>
    <t>Journée</t>
  </si>
  <si>
    <t>Instances</t>
  </si>
  <si>
    <t>Récapitulatifs</t>
  </si>
  <si>
    <t>jeudi</t>
  </si>
  <si>
    <t>lundi</t>
  </si>
  <si>
    <t>mardi</t>
  </si>
  <si>
    <t>mercredi</t>
  </si>
  <si>
    <t>samedi</t>
  </si>
  <si>
    <t>vendredi</t>
  </si>
  <si>
    <t>INDEX DE POSE</t>
  </si>
  <si>
    <t>YOUMCHAKOU/ADJIM</t>
  </si>
  <si>
    <t>DJOYIM</t>
  </si>
  <si>
    <t>EWANE/EDIMO</t>
  </si>
  <si>
    <t>BEBITEYE EPSE NOETZEL</t>
  </si>
  <si>
    <t>Agences</t>
  </si>
  <si>
    <t>DATE D'ENTREE</t>
  </si>
  <si>
    <t xml:space="preserve">AFRIEXCHANGE SA </t>
  </si>
  <si>
    <t>WAMBO ALAIN</t>
  </si>
  <si>
    <t>HAMDY PUB CMR</t>
  </si>
  <si>
    <t>MARIE NGAMSI M</t>
  </si>
  <si>
    <t xml:space="preserve">NDOME KOUELLE BERTHE </t>
  </si>
  <si>
    <t xml:space="preserve">MISSION PROSTESTANT </t>
  </si>
  <si>
    <t xml:space="preserve">DJONG ERNESTINE </t>
  </si>
  <si>
    <t>JACQUES NGAPLAN HAMAN</t>
  </si>
  <si>
    <t>NDUBUISI NWAFOR</t>
  </si>
  <si>
    <t>ABBEY MATE</t>
  </si>
  <si>
    <t>WATAT NKWENDOU JEAN</t>
  </si>
  <si>
    <t>HAMZA IBRAHIMA</t>
  </si>
  <si>
    <t xml:space="preserve">HEUDOU MINGUE </t>
  </si>
  <si>
    <t>KUEDOUNG SOMO</t>
  </si>
  <si>
    <t>KENFACK EPSE TSA</t>
  </si>
  <si>
    <t>KAMENI NOUNGOUE</t>
  </si>
  <si>
    <t>MONIQUE BIENVENU</t>
  </si>
  <si>
    <t xml:space="preserve">EMILIE WONJE </t>
  </si>
  <si>
    <t xml:space="preserve">KWEDI MARIE </t>
  </si>
  <si>
    <t>TCHANA NGASSA</t>
  </si>
  <si>
    <t xml:space="preserve">KINGUE MARGUERITE </t>
  </si>
  <si>
    <t xml:space="preserve">DONPE MEKONTTCHOU </t>
  </si>
  <si>
    <t>AMINATOU MOHAMADOU</t>
  </si>
  <si>
    <t>SANDRINE FOYOU</t>
  </si>
  <si>
    <t xml:space="preserve">YVES NANTCHOUAN </t>
  </si>
  <si>
    <t xml:space="preserve">JOHN IKEKE </t>
  </si>
  <si>
    <t>JOSEPH DIKOTI</t>
  </si>
  <si>
    <t xml:space="preserve">CHINMOUN ISSSOFA </t>
  </si>
  <si>
    <t xml:space="preserve">NDAM AMZA </t>
  </si>
  <si>
    <t>NJIAKA ADAMOU</t>
  </si>
  <si>
    <t>ASSANJI SIRRI</t>
  </si>
  <si>
    <t>BAH ADRIENNE</t>
  </si>
  <si>
    <t xml:space="preserve"> CHOUPE KOM</t>
  </si>
  <si>
    <t>MBAH MBAFU</t>
  </si>
  <si>
    <t>NANA MARCO</t>
  </si>
  <si>
    <t xml:space="preserve">MOUNDI ELIMBI </t>
  </si>
  <si>
    <t>MBOUA LYME</t>
  </si>
  <si>
    <t>MBOUMDI ELIMBI</t>
  </si>
  <si>
    <t xml:space="preserve">DASH MEDIA </t>
  </si>
  <si>
    <t>MBOPDA TCH</t>
  </si>
  <si>
    <t>PEMI EGBER</t>
  </si>
  <si>
    <t>EGLITH</t>
  </si>
  <si>
    <t>DIBOTI LOVES</t>
  </si>
  <si>
    <t>BAWOUKE</t>
  </si>
  <si>
    <t>WOUNGNUE</t>
  </si>
  <si>
    <t>JANTCHE</t>
  </si>
  <si>
    <t xml:space="preserve">LE GRENIER </t>
  </si>
  <si>
    <t xml:space="preserve">KOME DIEUDONNE </t>
  </si>
  <si>
    <t>GLOBAL LOGISTIQCS</t>
  </si>
  <si>
    <t xml:space="preserve">EGLISE D CHRISTIANISTE </t>
  </si>
  <si>
    <t xml:space="preserve">MONGO NGANGUE </t>
  </si>
  <si>
    <t xml:space="preserve">JEAN RGER EBANDA </t>
  </si>
  <si>
    <t>AYABAKO</t>
  </si>
  <si>
    <t>YOUSSA NGNIAMBO</t>
  </si>
  <si>
    <t>PETER KETOH</t>
  </si>
  <si>
    <t>TCHOUASSI MOUMISSIE</t>
  </si>
  <si>
    <t>EMERGENCE BUDINESS</t>
  </si>
  <si>
    <t xml:space="preserve">SANGA DELPHINE </t>
  </si>
  <si>
    <t>FOHOUO NWAFO</t>
  </si>
  <si>
    <t xml:space="preserve">FRANCIS MAKUBE </t>
  </si>
  <si>
    <t xml:space="preserve">KWOH ANNE MARIE </t>
  </si>
  <si>
    <t xml:space="preserve">ROSE NGO </t>
  </si>
  <si>
    <t>NDIFOR NJONG</t>
  </si>
  <si>
    <t xml:space="preserve">MBAKA TECLAIRE </t>
  </si>
  <si>
    <t>HAMADOU AMADOU</t>
  </si>
  <si>
    <t>JACOB GNANGOU</t>
  </si>
  <si>
    <t>WAMBO JOSEPH</t>
  </si>
  <si>
    <t>NDUKAFE SYLVESTRE</t>
  </si>
  <si>
    <t xml:space="preserve">ROMARIO HEUBA </t>
  </si>
  <si>
    <t xml:space="preserve">BESSALA BESSALA </t>
  </si>
  <si>
    <t xml:space="preserve">MARIE ARIAME DOULA </t>
  </si>
  <si>
    <t xml:space="preserve">LOE SYLVIE </t>
  </si>
  <si>
    <t>DIARA HAMADI</t>
  </si>
  <si>
    <t xml:space="preserve">CISSE MOUSSA </t>
  </si>
  <si>
    <t>LAND OPTIC</t>
  </si>
  <si>
    <t>NIM TECLA</t>
  </si>
  <si>
    <t xml:space="preserve">SEMEN KOUAMEN </t>
  </si>
  <si>
    <t xml:space="preserve">MAGEB ASAAHA </t>
  </si>
  <si>
    <t xml:space="preserve">JOSEPH KEMOGNE </t>
  </si>
  <si>
    <t xml:space="preserve">MOUMDE ELIMBI </t>
  </si>
  <si>
    <t xml:space="preserve">MBOUA LYDIENNE </t>
  </si>
  <si>
    <t>KOTTO</t>
  </si>
  <si>
    <t>TCHINDA IYESSA</t>
  </si>
  <si>
    <t>DIALLO MAMADOU</t>
  </si>
  <si>
    <t xml:space="preserve">TCHOUMEN FABRICE </t>
  </si>
  <si>
    <t xml:space="preserve">RENE ACHU </t>
  </si>
  <si>
    <t xml:space="preserve">ESSAMA </t>
  </si>
  <si>
    <t>GIGASSUR SARL</t>
  </si>
  <si>
    <t xml:space="preserve">JANCHE GERMAIN </t>
  </si>
  <si>
    <t xml:space="preserve">EPEE FRANCOIS </t>
  </si>
  <si>
    <t>JOSEPH BATIK</t>
  </si>
  <si>
    <t xml:space="preserve">TSAMO BEATRICE </t>
  </si>
  <si>
    <t>ISMAIL AICHATOU</t>
  </si>
  <si>
    <t xml:space="preserve">ERENINA OBODOFUALA </t>
  </si>
  <si>
    <t>OUMAROU SALY</t>
  </si>
  <si>
    <t>ATONFACK JEAN</t>
  </si>
  <si>
    <t>EKOLO NDOLO</t>
  </si>
  <si>
    <t xml:space="preserve">DELPHINE MME NTYAM </t>
  </si>
  <si>
    <t xml:space="preserve">BERNARD </t>
  </si>
  <si>
    <t>REIMEX SARL</t>
  </si>
  <si>
    <t>ZOMBOU ELISABETH</t>
  </si>
  <si>
    <t>NJOYA NDAM</t>
  </si>
  <si>
    <t>ELIMBI ELISE</t>
  </si>
  <si>
    <t>NGOBO ESSON</t>
  </si>
  <si>
    <t>NCHANG SHIDRI</t>
  </si>
  <si>
    <t>ANIEKAM A</t>
  </si>
  <si>
    <t xml:space="preserve">TCHOKOTE MICODEME </t>
  </si>
  <si>
    <t xml:space="preserve">EMADE MONIQUE </t>
  </si>
  <si>
    <t>NGOKO MICHEL</t>
  </si>
  <si>
    <t>NGOUMBIME YOUCHAWOU</t>
  </si>
  <si>
    <t>NAMADIS TRAVEL</t>
  </si>
  <si>
    <t xml:space="preserve">ETAKE DIVINE </t>
  </si>
  <si>
    <t xml:space="preserve">OUMAROU NDJIDDA </t>
  </si>
  <si>
    <t>FARADJ HAMAT</t>
  </si>
  <si>
    <t>MANDENGUE PAUL MANGA</t>
  </si>
  <si>
    <t>CHRISTIAN NWAIGWE</t>
  </si>
  <si>
    <t xml:space="preserve">JOSEPH NGNIE </t>
  </si>
  <si>
    <t>DOMGMO KENFACK</t>
  </si>
  <si>
    <t xml:space="preserve">JUDE ISIAYA CHUKWUDI </t>
  </si>
  <si>
    <t xml:space="preserve">TATSING TATSING </t>
  </si>
  <si>
    <t xml:space="preserve">KOUPTOUDJI UIGNANG </t>
  </si>
  <si>
    <t xml:space="preserve">PATISTES UNION </t>
  </si>
  <si>
    <t xml:space="preserve">EUPHRASIE NKANDA </t>
  </si>
  <si>
    <t>MARCHE MBIEDU</t>
  </si>
  <si>
    <t xml:space="preserve">ALIANE FRIDE </t>
  </si>
  <si>
    <t>CELESTINE MOULION</t>
  </si>
  <si>
    <t>ESTHER KOUMASSOCK</t>
  </si>
  <si>
    <t xml:space="preserve">SIMON MOUTSINA </t>
  </si>
  <si>
    <t xml:space="preserve">ASSOUMANE ELH </t>
  </si>
  <si>
    <t>UBA ONYEKACHI</t>
  </si>
  <si>
    <t xml:space="preserve">LIONEL KAMGA </t>
  </si>
  <si>
    <t>CHRISTUS ONYIRIEDE 1</t>
  </si>
  <si>
    <t xml:space="preserve">NGASSSA APPOLONAIRE </t>
  </si>
  <si>
    <t xml:space="preserve">MOUSTAPHA MOHAMADOU </t>
  </si>
  <si>
    <t xml:space="preserve">TAGNE POKA </t>
  </si>
  <si>
    <t xml:space="preserve">MOHAMAT ALADJI </t>
  </si>
  <si>
    <t xml:space="preserve">CLOTILDE NEUMBEU </t>
  </si>
  <si>
    <t xml:space="preserve">CHRISTIOFNUS CHIDO </t>
  </si>
  <si>
    <t>SALAHATOU</t>
  </si>
  <si>
    <t xml:space="preserve">MOHAAMED MOCTAR </t>
  </si>
  <si>
    <t>STE MAHIMA SARL</t>
  </si>
  <si>
    <t xml:space="preserve">MARTHE CLAIRE </t>
  </si>
  <si>
    <t>KINGSLEY AMECHI</t>
  </si>
  <si>
    <t xml:space="preserve">TCHATCHOUANG GUSTAVE </t>
  </si>
  <si>
    <t>KAKMENI EPSE NGOUNOU</t>
  </si>
  <si>
    <t>DOUALA WENG</t>
  </si>
  <si>
    <t>ANDRIENNE TCHOKOTE</t>
  </si>
  <si>
    <t xml:space="preserve">DAVID JIOKENG </t>
  </si>
  <si>
    <t>SADIO NOUHA</t>
  </si>
  <si>
    <t xml:space="preserve">MATAMBA JACOB </t>
  </si>
  <si>
    <t xml:space="preserve">NDOME EBOLLO </t>
  </si>
  <si>
    <t xml:space="preserve">MUNJONG NJEKO </t>
  </si>
  <si>
    <t xml:space="preserve">KAUTE JEAN PAUL </t>
  </si>
  <si>
    <t>PIERRE SIMON</t>
  </si>
  <si>
    <t>RMIA DOM CDT</t>
  </si>
  <si>
    <t xml:space="preserve">NGADJEU JEAN PIERRE </t>
  </si>
  <si>
    <t xml:space="preserve">MELA BAISSA </t>
  </si>
  <si>
    <t xml:space="preserve">CHRISTU ONYIRIDE </t>
  </si>
  <si>
    <t xml:space="preserve">MAVOULA ANNETTE </t>
  </si>
  <si>
    <t xml:space="preserve">JEAN TAKOULOU </t>
  </si>
  <si>
    <t>CENTRE DE MISSION CHRIST</t>
  </si>
  <si>
    <t>PAULINE EZEONU NGOZO</t>
  </si>
  <si>
    <t xml:space="preserve">YAYA ORI </t>
  </si>
  <si>
    <t xml:space="preserve">KAMENI VERONIQUE </t>
  </si>
  <si>
    <t xml:space="preserve">IBRAHIM MOUSSA </t>
  </si>
  <si>
    <t>IYALE JOSEPHINE EPSE BELLO</t>
  </si>
  <si>
    <t xml:space="preserve">XXX NIRINTA NGAMTAKOU </t>
  </si>
  <si>
    <t xml:space="preserve">MOUSTAPHA MAHAMAT </t>
  </si>
  <si>
    <t xml:space="preserve">TCHUITE NJAKOU </t>
  </si>
  <si>
    <t>EPSE NDZANA NOAH</t>
  </si>
  <si>
    <t xml:space="preserve">MATHURIN FOGUE </t>
  </si>
  <si>
    <t xml:space="preserve">NATHALIE KOUVOU </t>
  </si>
  <si>
    <t xml:space="preserve">GIOU PASCAL </t>
  </si>
  <si>
    <t xml:space="preserve">NDJAMBA </t>
  </si>
  <si>
    <t>NGNAGAWA MARIE CLAIRE</t>
  </si>
  <si>
    <t xml:space="preserve">NWEKE HANS HONEY </t>
  </si>
  <si>
    <t xml:space="preserve">STE GREEN CARTRIDGE </t>
  </si>
  <si>
    <t xml:space="preserve">YOUNOUSSIA ABOU </t>
  </si>
  <si>
    <t xml:space="preserve">BOULET BERNARD </t>
  </si>
  <si>
    <t xml:space="preserve">WENG MUXING </t>
  </si>
  <si>
    <t>MAMADOU DIALLO</t>
  </si>
  <si>
    <t>SAMUEL CHIBUIKE .E</t>
  </si>
  <si>
    <t>OK FOOD CAM</t>
  </si>
  <si>
    <t xml:space="preserve">NDOUNGA </t>
  </si>
  <si>
    <t>MBEDOUM TATSING</t>
  </si>
  <si>
    <t>BONGO ELONG</t>
  </si>
  <si>
    <t xml:space="preserve">NWAMBO ABRAHAM </t>
  </si>
  <si>
    <t>SAHO ZABZI FRANCOIS</t>
  </si>
  <si>
    <t xml:space="preserve">NAVANERI ALEXANDRE </t>
  </si>
  <si>
    <t xml:space="preserve">NDZE VIVIANE EKIE </t>
  </si>
  <si>
    <t>NANKE DANIEL</t>
  </si>
  <si>
    <t xml:space="preserve">WANDJI PIERRE </t>
  </si>
  <si>
    <t>WANGO ARMSTRONG</t>
  </si>
  <si>
    <t>AFCOTT SARL</t>
  </si>
  <si>
    <t>CONTRAT</t>
  </si>
  <si>
    <t>201738372</t>
  </si>
  <si>
    <t>203443113</t>
  </si>
  <si>
    <t>203915887</t>
  </si>
  <si>
    <t>203547043</t>
  </si>
  <si>
    <t>200066581</t>
  </si>
  <si>
    <t>200073613</t>
  </si>
  <si>
    <t>200193424</t>
  </si>
  <si>
    <t>204463975</t>
  </si>
  <si>
    <t>204491503</t>
  </si>
  <si>
    <t>203921302</t>
  </si>
  <si>
    <t>204114884</t>
  </si>
  <si>
    <t>200077625</t>
  </si>
  <si>
    <t>203370679</t>
  </si>
  <si>
    <t>204092140</t>
  </si>
  <si>
    <t>204153763</t>
  </si>
  <si>
    <t>204442346</t>
  </si>
  <si>
    <t>203940013</t>
  </si>
  <si>
    <t>200197303</t>
  </si>
  <si>
    <t>203272300</t>
  </si>
  <si>
    <t>204062563</t>
  </si>
  <si>
    <t>203807606</t>
  </si>
  <si>
    <t>203842751</t>
  </si>
  <si>
    <t>203546638</t>
  </si>
  <si>
    <t>203958794</t>
  </si>
  <si>
    <t>203841807</t>
  </si>
  <si>
    <t>200195417</t>
  </si>
  <si>
    <t>203918845</t>
  </si>
  <si>
    <t>203960706</t>
  </si>
  <si>
    <t>203914545</t>
  </si>
  <si>
    <t>203908516</t>
  </si>
  <si>
    <t>203931030</t>
  </si>
  <si>
    <t>203961386</t>
  </si>
  <si>
    <t>204356810</t>
  </si>
  <si>
    <t>204199334</t>
  </si>
  <si>
    <t>203399518</t>
  </si>
  <si>
    <t>203906459</t>
  </si>
  <si>
    <t>203931155</t>
  </si>
  <si>
    <t>203920876</t>
  </si>
  <si>
    <t>203750424</t>
  </si>
  <si>
    <t>203927390</t>
  </si>
  <si>
    <t>203931790</t>
  </si>
  <si>
    <t>203918312</t>
  </si>
  <si>
    <t>203887856</t>
  </si>
  <si>
    <t>203910827</t>
  </si>
  <si>
    <t>203928604</t>
  </si>
  <si>
    <t>204189324</t>
  </si>
  <si>
    <t>203925940</t>
  </si>
  <si>
    <t>203932743</t>
  </si>
  <si>
    <t>204478873</t>
  </si>
  <si>
    <t>203918311</t>
  </si>
  <si>
    <t>200030318</t>
  </si>
  <si>
    <t>203771333</t>
  </si>
  <si>
    <t>203067138</t>
  </si>
  <si>
    <t>203902429</t>
  </si>
  <si>
    <t>204120864</t>
  </si>
  <si>
    <t>203321201</t>
  </si>
  <si>
    <t>201929641</t>
  </si>
  <si>
    <t>203123580</t>
  </si>
  <si>
    <t>204115558</t>
  </si>
  <si>
    <t>203909324</t>
  </si>
  <si>
    <t>200064769</t>
  </si>
  <si>
    <t>203900831</t>
  </si>
  <si>
    <t>204105724</t>
  </si>
  <si>
    <t>203988992</t>
  </si>
  <si>
    <t>203894727</t>
  </si>
  <si>
    <t>200198043</t>
  </si>
  <si>
    <t>203674582</t>
  </si>
  <si>
    <t>200187415</t>
  </si>
  <si>
    <t>204062954</t>
  </si>
  <si>
    <t>204252995</t>
  </si>
  <si>
    <t>203892730</t>
  </si>
  <si>
    <t>204147673</t>
  </si>
  <si>
    <t>203890093</t>
  </si>
  <si>
    <t>203945117</t>
  </si>
  <si>
    <t>204082874</t>
  </si>
  <si>
    <t>203054628</t>
  </si>
  <si>
    <t>203064334</t>
  </si>
  <si>
    <t>204438892</t>
  </si>
  <si>
    <t>201569708</t>
  </si>
  <si>
    <t>203106459</t>
  </si>
  <si>
    <t>203928697</t>
  </si>
  <si>
    <t>203919387</t>
  </si>
  <si>
    <t>203743677</t>
  </si>
  <si>
    <t>203809117</t>
  </si>
  <si>
    <t>204437189</t>
  </si>
  <si>
    <t>203939646</t>
  </si>
  <si>
    <t>203007486</t>
  </si>
  <si>
    <t>200037696</t>
  </si>
  <si>
    <t>203989802</t>
  </si>
  <si>
    <t>203925779</t>
  </si>
  <si>
    <t>203851253</t>
  </si>
  <si>
    <t>201725854</t>
  </si>
  <si>
    <t>204037294</t>
  </si>
  <si>
    <t>200078332</t>
  </si>
  <si>
    <t>203898276</t>
  </si>
  <si>
    <t>201940616</t>
  </si>
  <si>
    <t>200063348</t>
  </si>
  <si>
    <t>203628789</t>
  </si>
  <si>
    <t>200068051</t>
  </si>
  <si>
    <t>203914735</t>
  </si>
  <si>
    <t>203953086</t>
  </si>
  <si>
    <t>203483040</t>
  </si>
  <si>
    <t>204045960</t>
  </si>
  <si>
    <t>204005429</t>
  </si>
  <si>
    <t>200193200</t>
  </si>
  <si>
    <t>203905605</t>
  </si>
  <si>
    <t>204144961</t>
  </si>
  <si>
    <t>204487476</t>
  </si>
  <si>
    <t>203742241</t>
  </si>
  <si>
    <t>204486450</t>
  </si>
  <si>
    <t>203904538</t>
  </si>
  <si>
    <t>201921847</t>
  </si>
  <si>
    <t>200062201</t>
  </si>
  <si>
    <t>203774576</t>
  </si>
  <si>
    <t>203675671</t>
  </si>
  <si>
    <t>204365764</t>
  </si>
  <si>
    <t>204052924</t>
  </si>
  <si>
    <t>200189575</t>
  </si>
  <si>
    <t>200187745</t>
  </si>
  <si>
    <t>200189309</t>
  </si>
  <si>
    <t>200191355</t>
  </si>
  <si>
    <t>200188430</t>
  </si>
  <si>
    <t>204165008</t>
  </si>
  <si>
    <t>204435626</t>
  </si>
  <si>
    <t>203890440</t>
  </si>
  <si>
    <t>203933589</t>
  </si>
  <si>
    <t>204403852</t>
  </si>
  <si>
    <t>203910616</t>
  </si>
  <si>
    <t>203943102</t>
  </si>
  <si>
    <t>203894701</t>
  </si>
  <si>
    <t>200195175</t>
  </si>
  <si>
    <t>203735742</t>
  </si>
  <si>
    <t>200193360</t>
  </si>
  <si>
    <t>204002895</t>
  </si>
  <si>
    <t>203001310</t>
  </si>
  <si>
    <t>203891408</t>
  </si>
  <si>
    <t>204487439</t>
  </si>
  <si>
    <t>204362164</t>
  </si>
  <si>
    <t>203900649</t>
  </si>
  <si>
    <t>202014326</t>
  </si>
  <si>
    <t>202017329</t>
  </si>
  <si>
    <t>203918857</t>
  </si>
  <si>
    <t>203905985</t>
  </si>
  <si>
    <t>203921026</t>
  </si>
  <si>
    <t>200188200</t>
  </si>
  <si>
    <t>201977711</t>
  </si>
  <si>
    <t>203641962</t>
  </si>
  <si>
    <t>200190609</t>
  </si>
  <si>
    <t>203962979</t>
  </si>
  <si>
    <t>202153535</t>
  </si>
  <si>
    <t>204328778</t>
  </si>
  <si>
    <t>200066033</t>
  </si>
  <si>
    <t>201741396</t>
  </si>
  <si>
    <t>203963019</t>
  </si>
  <si>
    <t>203911516</t>
  </si>
  <si>
    <t>204171146</t>
  </si>
  <si>
    <t>203750939</t>
  </si>
  <si>
    <t>204459683</t>
  </si>
  <si>
    <t>203810252</t>
  </si>
  <si>
    <t>204482523</t>
  </si>
  <si>
    <t>204481380</t>
  </si>
  <si>
    <t>204409222</t>
  </si>
  <si>
    <t>204409219</t>
  </si>
  <si>
    <t>204224200</t>
  </si>
  <si>
    <t>203587014</t>
  </si>
  <si>
    <t>204455742</t>
  </si>
  <si>
    <t>204036944</t>
  </si>
  <si>
    <t>204177929</t>
  </si>
  <si>
    <t>203960474</t>
  </si>
  <si>
    <t>203489715</t>
  </si>
  <si>
    <t>200068400</t>
  </si>
  <si>
    <t>P05070313379853</t>
  </si>
  <si>
    <t>P08210312446175</t>
  </si>
  <si>
    <t>203823135</t>
  </si>
  <si>
    <t>203762051</t>
  </si>
  <si>
    <t>203402062</t>
  </si>
  <si>
    <t>201921162</t>
  </si>
  <si>
    <t>200063142</t>
  </si>
  <si>
    <t>200198822</t>
  </si>
  <si>
    <t>P05060313383632</t>
  </si>
  <si>
    <t>200197186</t>
  </si>
  <si>
    <t>204481571</t>
  </si>
  <si>
    <t>204482303</t>
  </si>
  <si>
    <t>204468732</t>
  </si>
  <si>
    <t>204467599</t>
  </si>
  <si>
    <t>204483807</t>
  </si>
  <si>
    <t>P05070313270685</t>
  </si>
  <si>
    <t>203172646</t>
  </si>
  <si>
    <t>N°COMPTEUR</t>
  </si>
  <si>
    <t>02630076773795</t>
  </si>
  <si>
    <t>37237019122</t>
  </si>
  <si>
    <t>37240069494</t>
  </si>
  <si>
    <t>014425894319</t>
  </si>
  <si>
    <t>37237152667</t>
  </si>
  <si>
    <t>37240064743</t>
  </si>
  <si>
    <t>37230190178</t>
  </si>
  <si>
    <t>37245858511</t>
  </si>
  <si>
    <t>2220054782</t>
  </si>
  <si>
    <t>20757401</t>
  </si>
  <si>
    <t>37240427485</t>
  </si>
  <si>
    <t>021550135570</t>
  </si>
  <si>
    <t>22200039735</t>
  </si>
  <si>
    <t>37237024973</t>
  </si>
  <si>
    <t xml:space="preserve">REPRISE </t>
  </si>
  <si>
    <t>37246149928</t>
  </si>
  <si>
    <t>37237018728</t>
  </si>
  <si>
    <t>014400649951</t>
  </si>
  <si>
    <t>014400680527</t>
  </si>
  <si>
    <t>37237007408</t>
  </si>
  <si>
    <t>37297131950</t>
  </si>
  <si>
    <t>37237147543</t>
  </si>
  <si>
    <t>021850184385</t>
  </si>
  <si>
    <t>1402449383</t>
  </si>
  <si>
    <t>01402449383</t>
  </si>
  <si>
    <t>2218053722</t>
  </si>
  <si>
    <t>014412795420</t>
  </si>
  <si>
    <t>37237052537</t>
  </si>
  <si>
    <t>23002491</t>
  </si>
  <si>
    <t>1503009082</t>
  </si>
  <si>
    <t>37247363734</t>
  </si>
  <si>
    <t>37237186871</t>
  </si>
  <si>
    <t>37237135779</t>
  </si>
  <si>
    <t>017900768277</t>
  </si>
  <si>
    <t>014392586427</t>
  </si>
  <si>
    <t>37272819824</t>
  </si>
  <si>
    <t>2219018293</t>
  </si>
  <si>
    <t>37272547730</t>
  </si>
  <si>
    <t>37272531288</t>
  </si>
  <si>
    <t>37246203667</t>
  </si>
  <si>
    <t>37246202800</t>
  </si>
  <si>
    <t>8986609</t>
  </si>
  <si>
    <t>2218126633</t>
  </si>
  <si>
    <t>37272592678</t>
  </si>
  <si>
    <t>37241278276</t>
  </si>
  <si>
    <t>014425876373</t>
  </si>
  <si>
    <t>37237177318</t>
  </si>
  <si>
    <t>1030700448137</t>
  </si>
  <si>
    <t>2218104919</t>
  </si>
  <si>
    <t>37272835432</t>
  </si>
  <si>
    <t>021850132704</t>
  </si>
  <si>
    <t>1030700390944</t>
  </si>
  <si>
    <t>014392586120</t>
  </si>
  <si>
    <t>37237051612</t>
  </si>
  <si>
    <t>37237131950</t>
  </si>
  <si>
    <t>01442587973</t>
  </si>
  <si>
    <t>37272801830</t>
  </si>
  <si>
    <t>1030700442900</t>
  </si>
  <si>
    <t>23018879</t>
  </si>
  <si>
    <t>1503063617</t>
  </si>
  <si>
    <t>37272836182</t>
  </si>
  <si>
    <t>6714176</t>
  </si>
  <si>
    <t>0179000752305</t>
  </si>
  <si>
    <t>37272521420</t>
  </si>
  <si>
    <t>37272836554</t>
  </si>
  <si>
    <t>37272733066</t>
  </si>
  <si>
    <t>37272746605</t>
  </si>
  <si>
    <t>372461188068</t>
  </si>
  <si>
    <t>1030700366057</t>
  </si>
  <si>
    <t>POSTPAID</t>
  </si>
  <si>
    <t xml:space="preserve">PREPAID </t>
  </si>
  <si>
    <t>PREPAID</t>
  </si>
  <si>
    <t xml:space="preserve">POSTPAID </t>
  </si>
  <si>
    <t>POSPAID</t>
  </si>
  <si>
    <t xml:space="preserve">PEREPAID </t>
  </si>
  <si>
    <t>INTELLIGENT</t>
  </si>
  <si>
    <t xml:space="preserve">POSTPIAD </t>
  </si>
  <si>
    <t xml:space="preserve">VOLE </t>
  </si>
  <si>
    <t xml:space="preserve">PREPAID  </t>
  </si>
  <si>
    <t xml:space="preserve">INTELLIGENT </t>
  </si>
  <si>
    <t>670001910</t>
  </si>
  <si>
    <t>693728339</t>
  </si>
  <si>
    <t>6719568030</t>
  </si>
  <si>
    <t>696037537</t>
  </si>
  <si>
    <t>699935463</t>
  </si>
  <si>
    <t>699586236</t>
  </si>
  <si>
    <t>699380664</t>
  </si>
  <si>
    <t>692725250</t>
  </si>
  <si>
    <t>679796216</t>
  </si>
  <si>
    <t>699955317</t>
  </si>
  <si>
    <t>699764377</t>
  </si>
  <si>
    <t>671256166</t>
  </si>
  <si>
    <t>674625381</t>
  </si>
  <si>
    <t>655607697</t>
  </si>
  <si>
    <t>698528489</t>
  </si>
  <si>
    <t>693374538</t>
  </si>
  <si>
    <t>676785514</t>
  </si>
  <si>
    <t>696117255</t>
  </si>
  <si>
    <t>693155823</t>
  </si>
  <si>
    <t>655142942</t>
  </si>
  <si>
    <t>675645674</t>
  </si>
  <si>
    <t>697357945</t>
  </si>
  <si>
    <t>677973458</t>
  </si>
  <si>
    <t>658045659</t>
  </si>
  <si>
    <t>697843436</t>
  </si>
  <si>
    <t>671886547</t>
  </si>
  <si>
    <t>690679343</t>
  </si>
  <si>
    <t>699390337</t>
  </si>
  <si>
    <t>697254505</t>
  </si>
  <si>
    <t>674249905</t>
  </si>
  <si>
    <t>681570585</t>
  </si>
  <si>
    <t>691629282</t>
  </si>
  <si>
    <t>677988151</t>
  </si>
  <si>
    <t>678154662</t>
  </si>
  <si>
    <t>671987014</t>
  </si>
  <si>
    <t>699818804</t>
  </si>
  <si>
    <t>674618424</t>
  </si>
  <si>
    <t>697256321</t>
  </si>
  <si>
    <t>699531132</t>
  </si>
  <si>
    <t>675589379</t>
  </si>
  <si>
    <t>677511728</t>
  </si>
  <si>
    <t>694309535</t>
  </si>
  <si>
    <t>699906114</t>
  </si>
  <si>
    <t>674740645</t>
  </si>
  <si>
    <t>651799779</t>
  </si>
  <si>
    <t>699847360</t>
  </si>
  <si>
    <t>677072329</t>
  </si>
  <si>
    <t>677525732</t>
  </si>
  <si>
    <t>694590602</t>
  </si>
  <si>
    <t>697858704</t>
  </si>
  <si>
    <t>695061986</t>
  </si>
  <si>
    <t>696660740</t>
  </si>
  <si>
    <t>650468747</t>
  </si>
  <si>
    <t>692921216</t>
  </si>
  <si>
    <t>699872304</t>
  </si>
  <si>
    <t>697320806</t>
  </si>
  <si>
    <t>696402969</t>
  </si>
  <si>
    <t>650650047</t>
  </si>
  <si>
    <t>699831213</t>
  </si>
  <si>
    <t>696040413</t>
  </si>
  <si>
    <t>677767223</t>
  </si>
  <si>
    <t>699155308</t>
  </si>
  <si>
    <t>679254505</t>
  </si>
  <si>
    <t>693497286</t>
  </si>
  <si>
    <t>699828868</t>
  </si>
  <si>
    <t>698130846</t>
  </si>
  <si>
    <t>699613285</t>
  </si>
  <si>
    <t>697814344</t>
  </si>
  <si>
    <t>699924068</t>
  </si>
  <si>
    <t>69597376</t>
  </si>
  <si>
    <t>676333162</t>
  </si>
  <si>
    <t>699459054</t>
  </si>
  <si>
    <t>680968133</t>
  </si>
  <si>
    <t>699197028</t>
  </si>
  <si>
    <t>655859012</t>
  </si>
  <si>
    <t>699992173</t>
  </si>
  <si>
    <t>699686091</t>
  </si>
  <si>
    <t>699985050</t>
  </si>
  <si>
    <t>694595520</t>
  </si>
  <si>
    <t>693900463</t>
  </si>
  <si>
    <t>655005900</t>
  </si>
  <si>
    <t>675743179</t>
  </si>
  <si>
    <t>679399447</t>
  </si>
  <si>
    <t>675370640</t>
  </si>
  <si>
    <t>693382342</t>
  </si>
  <si>
    <t>670067838</t>
  </si>
  <si>
    <t>680535979</t>
  </si>
  <si>
    <t>691581212</t>
  </si>
  <si>
    <t>676383935</t>
  </si>
  <si>
    <t>699019161</t>
  </si>
  <si>
    <t>696834076</t>
  </si>
  <si>
    <t>698263747</t>
  </si>
  <si>
    <t>677990506</t>
  </si>
  <si>
    <t>691163293</t>
  </si>
  <si>
    <t>656846402</t>
  </si>
  <si>
    <t>677301137</t>
  </si>
  <si>
    <t>683668951</t>
  </si>
  <si>
    <t>677407348</t>
  </si>
  <si>
    <t>699962672</t>
  </si>
  <si>
    <t>699930327</t>
  </si>
  <si>
    <t>677642259</t>
  </si>
  <si>
    <t>699087022</t>
  </si>
  <si>
    <t>670642029</t>
  </si>
  <si>
    <t>658071062</t>
  </si>
  <si>
    <t>677520967</t>
  </si>
  <si>
    <t>693359379</t>
  </si>
  <si>
    <t>677501619</t>
  </si>
  <si>
    <t>677750657</t>
  </si>
  <si>
    <t>699997050</t>
  </si>
  <si>
    <t>672067171</t>
  </si>
  <si>
    <t>677734833</t>
  </si>
  <si>
    <t>650669825</t>
  </si>
  <si>
    <t>655440569</t>
  </si>
  <si>
    <t>699979325</t>
  </si>
  <si>
    <t>676633567</t>
  </si>
  <si>
    <t>677382837</t>
  </si>
  <si>
    <t>683008989</t>
  </si>
  <si>
    <t>679991284</t>
  </si>
  <si>
    <t>690745803</t>
  </si>
  <si>
    <t>693125327</t>
  </si>
  <si>
    <t>677483050</t>
  </si>
  <si>
    <t>696125004</t>
  </si>
  <si>
    <t>690633484</t>
  </si>
  <si>
    <t>691801144</t>
  </si>
  <si>
    <t>693804636</t>
  </si>
  <si>
    <t>650247531</t>
  </si>
  <si>
    <t>670951837</t>
  </si>
  <si>
    <t>677643542</t>
  </si>
  <si>
    <t>696702554</t>
  </si>
  <si>
    <t>672464711</t>
  </si>
  <si>
    <t>699411574</t>
  </si>
  <si>
    <t>694655965</t>
  </si>
  <si>
    <t>699346723</t>
  </si>
  <si>
    <t>657617906</t>
  </si>
  <si>
    <t>693455047</t>
  </si>
  <si>
    <t>690090491</t>
  </si>
  <si>
    <t>694367436</t>
  </si>
  <si>
    <t>699460800</t>
  </si>
  <si>
    <t>697127488</t>
  </si>
  <si>
    <t>699937077</t>
  </si>
  <si>
    <t>694736695</t>
  </si>
  <si>
    <t>678794509</t>
  </si>
  <si>
    <t>677607674</t>
  </si>
  <si>
    <t>699433551</t>
  </si>
  <si>
    <t>694196255</t>
  </si>
  <si>
    <t>694420912</t>
  </si>
  <si>
    <t>656264154</t>
  </si>
  <si>
    <t>672150536</t>
  </si>
  <si>
    <t>696630010</t>
  </si>
  <si>
    <t>693688562</t>
  </si>
  <si>
    <t>694373661</t>
  </si>
  <si>
    <t>698039306</t>
  </si>
  <si>
    <t>675402902</t>
  </si>
  <si>
    <t>692811184</t>
  </si>
  <si>
    <t>697914544</t>
  </si>
  <si>
    <t>677766380</t>
  </si>
  <si>
    <t>677774441</t>
  </si>
  <si>
    <t>699677867</t>
  </si>
  <si>
    <t>ANOMALIE SIGNALEE</t>
  </si>
  <si>
    <t>COMPTEUR DEFECTUEUX</t>
  </si>
  <si>
    <t xml:space="preserve">COMPTEUR BRULE </t>
  </si>
  <si>
    <t xml:space="preserve">DISTRIBUTEUR NON POSE </t>
  </si>
  <si>
    <t>COMPEUR DEFECTUEUX</t>
  </si>
  <si>
    <t>COMPTEUR DEFFECTUEUX</t>
  </si>
  <si>
    <t>REPRISE D ABONNEMENT</t>
  </si>
  <si>
    <t xml:space="preserve">REPRISE D'ABONNEMNT </t>
  </si>
  <si>
    <t xml:space="preserve">COMPTEUR VOLE </t>
  </si>
  <si>
    <t xml:space="preserve">REPRISE D ABONNEMENT </t>
  </si>
  <si>
    <t xml:space="preserve">COMPTEUR POSE SANS DISTRIBUTEUR </t>
  </si>
  <si>
    <t xml:space="preserve">COMPTEUR CRAME </t>
  </si>
  <si>
    <t>DISTRIBUTEUR DEFECTUEUX</t>
  </si>
  <si>
    <t>DISRIBUTEUR BRULRE</t>
  </si>
  <si>
    <t xml:space="preserve">COMPTEUR DEFECTUEUX </t>
  </si>
  <si>
    <t xml:space="preserve">DISJONCTEUR DEFECTUEUX </t>
  </si>
  <si>
    <t xml:space="preserve">DEMONTALE POUR LA FRAUDE </t>
  </si>
  <si>
    <t xml:space="preserve">BORNE NEUTRE BRULE </t>
  </si>
  <si>
    <t xml:space="preserve">ACTION A MENER </t>
  </si>
  <si>
    <t>REMPLACEMENT</t>
  </si>
  <si>
    <t xml:space="preserve">REMPLACEMENT </t>
  </si>
  <si>
    <t xml:space="preserve">POSE DISTRIBUTEUR </t>
  </si>
  <si>
    <t>REPRISE D'ABNT</t>
  </si>
  <si>
    <t>POSE COFFRET</t>
  </si>
  <si>
    <t>POSE COMPTEUR</t>
  </si>
  <si>
    <t xml:space="preserve">POSE COMPTEUR </t>
  </si>
  <si>
    <t xml:space="preserve">POSE KIT </t>
  </si>
  <si>
    <t xml:space="preserve">POSE LE DISTRIBUTEUR </t>
  </si>
  <si>
    <t xml:space="preserve">REMPLACEMNT </t>
  </si>
  <si>
    <t xml:space="preserve">REMPLACEMENT DISTRIBUTEUR </t>
  </si>
  <si>
    <t xml:space="preserve">REMPLACEMENT DE BORNE </t>
  </si>
  <si>
    <t xml:space="preserve">ENTREPRISE EN CHARGE </t>
  </si>
  <si>
    <t>SATTECH_3</t>
  </si>
  <si>
    <t>EAT_2</t>
  </si>
  <si>
    <t>SATTECH_1</t>
  </si>
  <si>
    <t>EAT_1</t>
  </si>
  <si>
    <t>02</t>
  </si>
  <si>
    <t>03</t>
  </si>
  <si>
    <t>EAT_4</t>
  </si>
  <si>
    <t>SATTECH_2</t>
  </si>
  <si>
    <t>SATTECH_02</t>
  </si>
  <si>
    <t>EAT_</t>
  </si>
  <si>
    <t>EAT_3</t>
  </si>
  <si>
    <t>SATTECH_4</t>
  </si>
  <si>
    <t>SATTECH_01</t>
  </si>
  <si>
    <t>EAT_5</t>
  </si>
  <si>
    <t>EAT_06</t>
  </si>
  <si>
    <t>EAT_01</t>
  </si>
  <si>
    <t>EAT_05</t>
  </si>
  <si>
    <t>AGENCE DE KOUMMASSI</t>
  </si>
  <si>
    <t>01</t>
  </si>
  <si>
    <t>04</t>
  </si>
  <si>
    <t>CHEF D'EQUIPE</t>
  </si>
  <si>
    <t>SIELATCHOM</t>
  </si>
  <si>
    <t xml:space="preserve">YAMGA </t>
  </si>
  <si>
    <t>MFOAPON</t>
  </si>
  <si>
    <t>NZEMO</t>
  </si>
  <si>
    <t xml:space="preserve">ESSAPA </t>
  </si>
  <si>
    <t xml:space="preserve">FONGANG </t>
  </si>
  <si>
    <t xml:space="preserve">YANGA </t>
  </si>
  <si>
    <t>TUBUO</t>
  </si>
  <si>
    <t xml:space="preserve">EVEHE </t>
  </si>
  <si>
    <t>ESSAPA</t>
  </si>
  <si>
    <t>EVEHE</t>
  </si>
  <si>
    <t xml:space="preserve">SAMAGA </t>
  </si>
  <si>
    <t xml:space="preserve">EWANE </t>
  </si>
  <si>
    <t>TOUBU</t>
  </si>
  <si>
    <t xml:space="preserve">NZEME </t>
  </si>
  <si>
    <t>SIELACHOM</t>
  </si>
  <si>
    <t>NFOUPON</t>
  </si>
  <si>
    <t>TATHIUM</t>
  </si>
  <si>
    <t xml:space="preserve">NFOUAPON </t>
  </si>
  <si>
    <t xml:space="preserve">MOUNGUI </t>
  </si>
  <si>
    <t>NZENMO</t>
  </si>
  <si>
    <t>EVEH</t>
  </si>
  <si>
    <t>EPOLO</t>
  </si>
  <si>
    <t>ZE/HENDA</t>
  </si>
  <si>
    <t>SAMAGA/YANGO</t>
  </si>
  <si>
    <t>EWANE /EDIMO</t>
  </si>
  <si>
    <t>SIELATCHOM/WEMENI</t>
  </si>
  <si>
    <t xml:space="preserve">YAMGA/PETGA </t>
  </si>
  <si>
    <t>MFOUAPON/MOUSSSA</t>
  </si>
  <si>
    <t>DOUFANG/KOM</t>
  </si>
  <si>
    <t>NZEMO/FANUI</t>
  </si>
  <si>
    <t xml:space="preserve">ESSAPA MAYELE </t>
  </si>
  <si>
    <t xml:space="preserve">FONGANG/MAKUATE </t>
  </si>
  <si>
    <t xml:space="preserve">YANGA /PETGA </t>
  </si>
  <si>
    <t xml:space="preserve">KOM/DOUFANG </t>
  </si>
  <si>
    <t xml:space="preserve">TUBUA </t>
  </si>
  <si>
    <t>ESSAPE</t>
  </si>
  <si>
    <t>NZEMO/FANWI</t>
  </si>
  <si>
    <t>EVEHE/MOUMENI</t>
  </si>
  <si>
    <t>FONGANG/MAKUATE</t>
  </si>
  <si>
    <t>TUBOU</t>
  </si>
  <si>
    <t xml:space="preserve">ESSAPA/MAYELE </t>
  </si>
  <si>
    <t xml:space="preserve">NFOUAPON/EWANE </t>
  </si>
  <si>
    <t xml:space="preserve">SAMAGA/YANGO </t>
  </si>
  <si>
    <t>TATHIUM/TAKOUA</t>
  </si>
  <si>
    <t xml:space="preserve">NFOUAPON/MOSSA </t>
  </si>
  <si>
    <t xml:space="preserve">NFOUAPON/MOUSSA </t>
  </si>
  <si>
    <t>MOUNGUI/DJOYIM</t>
  </si>
  <si>
    <t>DJOYIM/ADJIM</t>
  </si>
  <si>
    <t>NFOUAPON/MOUSSA</t>
  </si>
  <si>
    <t>NZENMO/FANWI</t>
  </si>
  <si>
    <t>EVEH/MOUMENI</t>
  </si>
  <si>
    <t xml:space="preserve">NFOUAPN/MOUSSA </t>
  </si>
  <si>
    <t xml:space="preserve">DATE EFFECTIVE DES TRAVAUX </t>
  </si>
  <si>
    <t>24/04/2024</t>
  </si>
  <si>
    <t>17/04/2024</t>
  </si>
  <si>
    <t>16/04/2024</t>
  </si>
  <si>
    <t>23/04/2024</t>
  </si>
  <si>
    <t>22/04/2024</t>
  </si>
  <si>
    <t>26/04/2024</t>
  </si>
  <si>
    <t>10/05/2024</t>
  </si>
  <si>
    <t>25/04/2024</t>
  </si>
  <si>
    <t>28/04/2024</t>
  </si>
  <si>
    <t>30/04/2024</t>
  </si>
  <si>
    <t>02/05/2024</t>
  </si>
  <si>
    <t>08/05/2024</t>
  </si>
  <si>
    <t>07/05/2024</t>
  </si>
  <si>
    <t>N°COMPTEUR POSE SUR LE TERRAIN</t>
  </si>
  <si>
    <t>23018928</t>
  </si>
  <si>
    <t>021350709774</t>
  </si>
  <si>
    <t>20391587</t>
  </si>
  <si>
    <t>23019135</t>
  </si>
  <si>
    <t>2218120317</t>
  </si>
  <si>
    <t>1040719000308</t>
  </si>
  <si>
    <t>23026055</t>
  </si>
  <si>
    <t>23026060</t>
  </si>
  <si>
    <t>23026056</t>
  </si>
  <si>
    <t>021550124676</t>
  </si>
  <si>
    <t>22999452</t>
  </si>
  <si>
    <t>23026066</t>
  </si>
  <si>
    <t>23026062</t>
  </si>
  <si>
    <t>23026061</t>
  </si>
  <si>
    <t>23023063</t>
  </si>
  <si>
    <t>22999461</t>
  </si>
  <si>
    <t>22999453</t>
  </si>
  <si>
    <t>23019057</t>
  </si>
  <si>
    <t>23018831</t>
  </si>
  <si>
    <t>23018833</t>
  </si>
  <si>
    <t>23019055</t>
  </si>
  <si>
    <t>23018834</t>
  </si>
  <si>
    <t>23026574</t>
  </si>
  <si>
    <t>23019051</t>
  </si>
  <si>
    <t>23019308</t>
  </si>
  <si>
    <t>23018841</t>
  </si>
  <si>
    <t>23026064</t>
  </si>
  <si>
    <t>0263008470423</t>
  </si>
  <si>
    <t>23018839</t>
  </si>
  <si>
    <t>23019300</t>
  </si>
  <si>
    <t>23019047</t>
  </si>
  <si>
    <t>23019299</t>
  </si>
  <si>
    <t>2219000094</t>
  </si>
  <si>
    <t>23019310</t>
  </si>
  <si>
    <t>23019058</t>
  </si>
  <si>
    <t>22999456</t>
  </si>
  <si>
    <t>23018836</t>
  </si>
  <si>
    <t>23019309</t>
  </si>
  <si>
    <t>0179000745077</t>
  </si>
  <si>
    <t>0179000776239</t>
  </si>
  <si>
    <t>0179000752495</t>
  </si>
  <si>
    <t>1030700444619</t>
  </si>
  <si>
    <t>23019303</t>
  </si>
  <si>
    <t>2218108374</t>
  </si>
  <si>
    <t>23018884</t>
  </si>
  <si>
    <t>017900074561</t>
  </si>
  <si>
    <t>23018832</t>
  </si>
  <si>
    <t>017900078278</t>
  </si>
  <si>
    <t>23018842</t>
  </si>
  <si>
    <t>23018883</t>
  </si>
  <si>
    <t>23018886</t>
  </si>
  <si>
    <t>23026576</t>
  </si>
  <si>
    <t>23018885</t>
  </si>
  <si>
    <t>23018887</t>
  </si>
  <si>
    <t>23026065</t>
  </si>
  <si>
    <t>23026057</t>
  </si>
  <si>
    <t>23026058</t>
  </si>
  <si>
    <t>23018838</t>
  </si>
  <si>
    <t>2219004865</t>
  </si>
  <si>
    <t>23018840</t>
  </si>
  <si>
    <t>23019306</t>
  </si>
  <si>
    <t>23019053</t>
  </si>
  <si>
    <t>1040719000499</t>
  </si>
  <si>
    <t>2218125972</t>
  </si>
  <si>
    <t>23019307</t>
  </si>
  <si>
    <t>23026575</t>
  </si>
  <si>
    <t>23026059</t>
  </si>
  <si>
    <t>201725824</t>
  </si>
  <si>
    <t>23026479</t>
  </si>
  <si>
    <t>23026473</t>
  </si>
  <si>
    <t>20319048</t>
  </si>
  <si>
    <t>230108880</t>
  </si>
  <si>
    <t>0263008470357</t>
  </si>
  <si>
    <t>0263008470373</t>
  </si>
  <si>
    <t>0263008469102</t>
  </si>
  <si>
    <t>0263008470365</t>
  </si>
  <si>
    <t>017900548901</t>
  </si>
  <si>
    <t>2219017633</t>
  </si>
  <si>
    <t>0263008470381</t>
  </si>
  <si>
    <t>23026581</t>
  </si>
  <si>
    <t>0263008470308</t>
  </si>
  <si>
    <t>221011035</t>
  </si>
  <si>
    <t>2219001969</t>
  </si>
  <si>
    <t>0263008470597</t>
  </si>
  <si>
    <t>0179000783813</t>
  </si>
  <si>
    <t>0263008470449</t>
  </si>
  <si>
    <t>0263008470456</t>
  </si>
  <si>
    <t>0263008470316</t>
  </si>
  <si>
    <t>0263008470332</t>
  </si>
  <si>
    <t>0263008470571</t>
  </si>
  <si>
    <t>0263008469441</t>
  </si>
  <si>
    <t>0269008470464</t>
  </si>
  <si>
    <t>23026578</t>
  </si>
  <si>
    <t>2218103124</t>
  </si>
  <si>
    <t>0179000741498</t>
  </si>
  <si>
    <t>23019304</t>
  </si>
  <si>
    <t>0263008470431</t>
  </si>
  <si>
    <t>0263008470589</t>
  </si>
  <si>
    <t>2218120514</t>
  </si>
  <si>
    <t>0263008470613</t>
  </si>
  <si>
    <t>0263008470415</t>
  </si>
  <si>
    <t>0263008470324</t>
  </si>
  <si>
    <t>0263008470076</t>
  </si>
  <si>
    <t>0179000754921</t>
  </si>
  <si>
    <t>2218122621</t>
  </si>
  <si>
    <t>2218120023</t>
  </si>
  <si>
    <t>0263008470043</t>
  </si>
  <si>
    <t>0179000758039</t>
  </si>
  <si>
    <t>20318879</t>
  </si>
  <si>
    <t>2219007840</t>
  </si>
  <si>
    <t>0179000769796</t>
  </si>
  <si>
    <t>INDEX DE DEPOSE</t>
  </si>
  <si>
    <t>ETEINT</t>
  </si>
  <si>
    <t xml:space="preserve">BRULE </t>
  </si>
  <si>
    <t xml:space="preserve">ILISIBLE </t>
  </si>
  <si>
    <t>BRULE</t>
  </si>
  <si>
    <t>DISJONCTEUR POSE SUR LE TERRAIN</t>
  </si>
  <si>
    <t>DATE PRISE EN CHARGE CMS</t>
  </si>
  <si>
    <t>FAIT</t>
  </si>
  <si>
    <t xml:space="preserve">FAIT </t>
  </si>
  <si>
    <t>TROUVER FAIT</t>
  </si>
  <si>
    <t>Normalisation Total</t>
  </si>
  <si>
    <t>NEW BELL</t>
  </si>
  <si>
    <t>Normalisations en Cours</t>
  </si>
  <si>
    <t>Normalisation exécutée</t>
  </si>
  <si>
    <t>PRISE EN CHARGE DANS CMS</t>
  </si>
  <si>
    <t>Normalisation executée</t>
  </si>
  <si>
    <t xml:space="preserve">Normalisations en Cours </t>
  </si>
  <si>
    <t xml:space="preserve">Normalisation Total </t>
  </si>
  <si>
    <t>NORMA Total</t>
  </si>
  <si>
    <t>NORMA exécutée</t>
  </si>
  <si>
    <t>dimanche</t>
  </si>
  <si>
    <t xml:space="preserve"> Normalisation exécutée</t>
  </si>
  <si>
    <t xml:space="preserve">PRISE EN CHARGE DANS CMS </t>
  </si>
  <si>
    <t xml:space="preserve">Agences </t>
  </si>
  <si>
    <t>Typologie Anomalie</t>
  </si>
  <si>
    <t>COMPTEUR BRULE</t>
  </si>
  <si>
    <t>DISJONCTEUR DEFECTUEUX</t>
  </si>
  <si>
    <t>DISJONCTEUR BRULE</t>
  </si>
  <si>
    <t>DISTRIBUTEUR NON POSE</t>
  </si>
  <si>
    <t>DISTRIBUTEUR BRULE</t>
  </si>
  <si>
    <t>CABLE BRULE</t>
  </si>
  <si>
    <t>TRIPLE NEUTRE BRULE</t>
  </si>
  <si>
    <t>COMPTEUR VOLE</t>
  </si>
  <si>
    <t>DISJONCTEUR VOLE</t>
  </si>
  <si>
    <t>COMPTEUR DEPOSE</t>
  </si>
  <si>
    <t>REPRISE D'ABONNEMENT</t>
  </si>
  <si>
    <t>BORNE NEUTRE BRULE</t>
  </si>
  <si>
    <t>COMPTEUR SUR PLANCHETTE</t>
  </si>
  <si>
    <t>Normalisations  en Cours</t>
  </si>
  <si>
    <t>Normalisations exécutées</t>
  </si>
  <si>
    <t xml:space="preserve">Normalisations exécutées 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</si>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</sst>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C0C]d\ mmm\ yyyy;@"/>
    <numFmt numFmtId="165" formatCode="[$-40C]d\ mmmm\ yyyy;@"/>
    <numFmt numFmtId="166" formatCode="[$-12C0C]d\ mmmm\ yyyy;@"/>
  </numFmts>
  <fonts count="11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6"/>
      <color rgb="FF000000"/>
      <name val="Calibri"/>
      <family val="2"/>
    </font>
    <font>
      <sz val="11"/>
      <color theme="1"/>
      <name val="Tahoma"/>
      <family val="2"/>
    </font>
    <font>
      <b/>
      <sz val="11"/>
      <color theme="0"/>
      <name val="Tahoma"/>
      <family val="2"/>
    </font>
    <font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0" tint="-0.249977111117893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49">
    <xf numFmtId="0" fontId="0" fillId="0" borderId="0" xfId="0"/>
    <xf numFmtId="0" fontId="2" fillId="3" borderId="0" xfId="0" applyFont="1" applyFill="1" applyAlignment="1">
      <alignment vertical="top" wrapText="1"/>
    </xf>
    <xf numFmtId="0" fontId="0" fillId="0" borderId="0" xfId="0" applyAlignment="1">
      <alignment horizontal="left"/>
    </xf>
    <xf numFmtId="0" fontId="0" fillId="5" borderId="3" xfId="0" applyFill="1" applyBorder="1"/>
    <xf numFmtId="0" fontId="0" fillId="7" borderId="1" xfId="0" applyFill="1" applyBorder="1" applyAlignment="1">
      <alignment horizontal="left"/>
    </xf>
    <xf numFmtId="0" fontId="3" fillId="6" borderId="0" xfId="0" applyFont="1" applyFill="1"/>
    <xf numFmtId="0" fontId="3" fillId="6" borderId="2" xfId="0" applyFont="1" applyFill="1" applyBorder="1" applyAlignment="1">
      <alignment horizontal="center"/>
    </xf>
    <xf numFmtId="0" fontId="0" fillId="0" borderId="3" xfId="0" applyBorder="1"/>
    <xf numFmtId="0" fontId="1" fillId="4" borderId="2" xfId="0" applyFont="1" applyFill="1" applyBorder="1" applyAlignment="1" applyProtection="1">
      <alignment vertical="top" wrapText="1"/>
      <protection locked="0"/>
    </xf>
    <xf numFmtId="164" fontId="1" fillId="4" borderId="2" xfId="0" applyNumberFormat="1" applyFont="1" applyFill="1" applyBorder="1" applyAlignment="1" applyProtection="1">
      <alignment vertical="top" wrapText="1"/>
      <protection locked="0"/>
    </xf>
    <xf numFmtId="0" fontId="1" fillId="4" borderId="2" xfId="0" applyFont="1" applyFill="1" applyBorder="1" applyAlignment="1" applyProtection="1">
      <alignment horizontal="center" vertical="center" wrapText="1"/>
      <protection locked="0"/>
    </xf>
    <xf numFmtId="49" fontId="1" fillId="4" borderId="2" xfId="0" applyNumberFormat="1" applyFont="1" applyFill="1" applyBorder="1" applyAlignment="1" applyProtection="1">
      <alignment horizontal="center" vertical="top" wrapText="1"/>
      <protection locked="0"/>
    </xf>
    <xf numFmtId="0" fontId="1" fillId="4" borderId="2" xfId="0" applyFont="1" applyFill="1" applyBorder="1" applyAlignment="1" applyProtection="1">
      <alignment horizontal="center" vertical="top" wrapText="1"/>
      <protection locked="0"/>
    </xf>
    <xf numFmtId="0" fontId="0" fillId="0" borderId="0" xfId="0" pivotButton="1"/>
    <xf numFmtId="0" fontId="1" fillId="4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1" fillId="4" borderId="2" xfId="0" applyFont="1" applyFill="1" applyBorder="1" applyAlignment="1" applyProtection="1">
      <alignment vertical="top" wrapText="1"/>
      <protection locked="0" hidden="1"/>
    </xf>
    <xf numFmtId="0" fontId="1" fillId="4" borderId="2" xfId="0" applyFont="1" applyFill="1" applyBorder="1" applyAlignment="1" applyProtection="1">
      <alignment horizontal="center" vertical="top" wrapText="1"/>
      <protection locked="0" hidden="1"/>
    </xf>
    <xf numFmtId="0" fontId="0" fillId="0" borderId="0" xfId="0" applyProtection="1">
      <protection locked="0" hidden="1"/>
    </xf>
    <xf numFmtId="10" fontId="6" fillId="2" borderId="0" xfId="1" applyNumberFormat="1" applyFont="1" applyFill="1" applyBorder="1" applyAlignment="1">
      <alignment horizontal="center" vertical="top"/>
    </xf>
    <xf numFmtId="10" fontId="0" fillId="0" borderId="0" xfId="1" applyNumberFormat="1" applyFont="1" applyBorder="1"/>
    <xf numFmtId="0" fontId="8" fillId="0" borderId="0" xfId="0" applyFont="1"/>
    <xf numFmtId="0" fontId="8" fillId="0" borderId="1" xfId="1" applyNumberFormat="1" applyFont="1" applyFill="1" applyBorder="1"/>
    <xf numFmtId="164" fontId="0" fillId="0" borderId="0" xfId="0" applyNumberFormat="1" applyAlignment="1" applyProtection="1">
      <alignment horizontal="center"/>
      <protection locked="0"/>
    </xf>
    <xf numFmtId="164" fontId="1" fillId="4" borderId="2" xfId="0" applyNumberFormat="1" applyFont="1" applyFill="1" applyBorder="1" applyAlignment="1" applyProtection="1">
      <alignment horizontal="center" vertical="top" wrapText="1"/>
      <protection locked="0"/>
    </xf>
    <xf numFmtId="0" fontId="1" fillId="4" borderId="2" xfId="0" applyFont="1" applyFill="1" applyBorder="1" applyAlignment="1" applyProtection="1">
      <alignment horizontal="center" vertical="center" wrapText="1"/>
      <protection locked="0" hidden="1"/>
    </xf>
    <xf numFmtId="10" fontId="9" fillId="2" borderId="4" xfId="1" applyNumberFormat="1" applyFont="1" applyFill="1" applyBorder="1" applyAlignment="1">
      <alignment horizontal="center" vertical="center"/>
    </xf>
    <xf numFmtId="0" fontId="0" fillId="9" borderId="0" xfId="0" applyFill="1"/>
    <xf numFmtId="0" fontId="4" fillId="9" borderId="0" xfId="0" applyFont="1" applyFill="1"/>
    <xf numFmtId="166" fontId="10" fillId="9" borderId="0" xfId="0" applyNumberFormat="1" applyFont="1" applyFill="1"/>
    <xf numFmtId="0" fontId="0" fillId="0" borderId="0" xfId="0" applyNumberFormat="1"/>
    <xf numFmtId="0" fontId="0" fillId="8" borderId="0" xfId="0" applyNumberFormat="1" applyFill="1"/>
    <xf numFmtId="0" fontId="1" fillId="4" borderId="2" xfId="0" applyFont="1" applyFill="1" applyBorder="1" applyAlignment="1" applyProtection="1">
      <alignment horizontal="center" vertical="top" wrapText="1"/>
      <protection hidden="1"/>
    </xf>
    <xf numFmtId="0" fontId="0" fillId="0" borderId="0" xfId="0" applyProtection="1">
      <protection hidden="1"/>
    </xf>
    <xf numFmtId="49" fontId="1" fillId="4" borderId="2" xfId="0" applyNumberFormat="1" applyFont="1" applyFill="1" applyBorder="1" applyAlignment="1" applyProtection="1">
      <alignment vertical="top" wrapText="1"/>
      <protection hidden="1"/>
    </xf>
    <xf numFmtId="0" fontId="1" fillId="4" borderId="2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vertical="top" wrapText="1"/>
      <protection hidden="1"/>
    </xf>
    <xf numFmtId="0" fontId="1" fillId="4" borderId="2" xfId="0" applyFont="1" applyFill="1" applyBorder="1" applyAlignment="1" applyProtection="1">
      <alignment vertical="top"/>
      <protection hidden="1"/>
    </xf>
    <xf numFmtId="164" fontId="0" fillId="0" borderId="0" xfId="0" applyNumberFormat="1" applyProtection="1"/>
    <xf numFmtId="0" fontId="0" fillId="0" borderId="0" xfId="0" applyProtection="1"/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5" fontId="0" fillId="0" borderId="0" xfId="0" applyNumberFormat="1" applyProtection="1"/>
    <xf numFmtId="0" fontId="0" fillId="0" borderId="0" xfId="0" applyAlignment="1" applyProtection="1">
      <alignment vertical="center"/>
    </xf>
  </cellXfs>
  <cellStyles count="2">
    <cellStyle name="Normal" xfId="0" builtinId="0"/>
    <cellStyle name="Per cent" xfId="1" builtinId="5"/>
  </cellStyles>
  <dxfs count="65"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[$-C0C]d\ mmm\ yyyy;@"/>
      <alignment horizontal="center" textRotation="0" indent="0" justifyLastLine="0" shrinkToFit="0" readingOrder="0"/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numFmt numFmtId="164" formatCode="[$-C0C]d\ mmm\ yyyy;@"/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[$-C0C]d\ mmm\ yyyy;@"/>
      <protection locked="1" hidden="0"/>
    </dxf>
    <dxf>
      <alignment horizontal="righ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4" formatCode="[$-C0C]d\ mmm\ yyyy;@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  <protection locked="1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499984740745262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7/relationships/slicerCache" Target="slicerCaches/slicerCache5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microsoft.com/office/2007/relationships/slicerCache" Target="slicerCaches/slicerCache4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BASE SUIVI DES NORMALISATIONS.xlsm]TCD !Tableau croisé dynamique4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100" baseline="0"/>
              <a:t>Normalisation exécutés vs Normalisations en instances</a:t>
            </a:r>
            <a:endParaRPr lang="fr-FR" sz="1100"/>
          </a:p>
        </c:rich>
      </c:tx>
      <c:layout>
        <c:manualLayout>
          <c:xMode val="edge"/>
          <c:yMode val="edge"/>
          <c:x val="0.24673673484173894"/>
          <c:y val="4.74292796733741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noFill/>
          <a:ln>
            <a:noFill/>
          </a:ln>
          <a:effectLst>
            <a:outerShdw blurRad="1270000" dist="19050" dir="5400000" sx="1000" sy="1000" algn="ctr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>
            <a:outerShdw blurRad="571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>
            <a:noFill/>
          </a:ln>
          <a:effectLst>
            <a:outerShdw dist="25400" sx="1000" sy="1000" algn="ctr" rotWithShape="0">
              <a:srgbClr val="000000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noFill/>
          <a:ln>
            <a:noFill/>
          </a:ln>
          <a:effectLst>
            <a:outerShdw blurRad="1270000" sx="1000" sy="1000" algn="ctr" rotWithShape="0">
              <a:srgbClr val="000000"/>
            </a:outerShdw>
          </a:effectLst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0000"/>
          </a:solidFill>
          <a:ln>
            <a:noFill/>
          </a:ln>
          <a:effectLst>
            <a:outerShdw blurRad="571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>
            <a:noFill/>
          </a:ln>
          <a:effectLst>
            <a:outerShdw blurRad="1270000" sx="1000" sy="1000" algn="ctr" rotWithShape="0">
              <a:srgbClr val="000000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99903614774301"/>
          <c:y val="0.18023071464848134"/>
          <c:w val="0.65396762212194637"/>
          <c:h val="0.777461605856569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'TCD '!$B$2</c:f>
              <c:strCache>
                <c:ptCount val="1"/>
                <c:pt idx="0">
                  <c:v>Normalisations en Cours 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'!$A$3:$A$6</c:f>
              <c:strCache>
                <c:ptCount val="3"/>
                <c:pt idx="0">
                  <c:v>AKWA</c:v>
                </c:pt>
                <c:pt idx="1">
                  <c:v>KOUMASSI</c:v>
                </c:pt>
                <c:pt idx="2">
                  <c:v>NEW BELL</c:v>
                </c:pt>
              </c:strCache>
            </c:strRef>
          </c:cat>
          <c:val>
            <c:numRef>
              <c:f>'TCD '!$B$3:$B$6</c:f>
              <c:numCache>
                <c:formatCode>General</c:formatCode>
                <c:ptCount val="3"/>
                <c:pt idx="0">
                  <c:v>9</c:v>
                </c:pt>
                <c:pt idx="1">
                  <c:v>24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7E-466F-A876-08CF7EF47F42}"/>
            </c:ext>
          </c:extLst>
        </c:ser>
        <c:ser>
          <c:idx val="1"/>
          <c:order val="1"/>
          <c:tx>
            <c:strRef>
              <c:f>'TCD '!$C$2</c:f>
              <c:strCache>
                <c:ptCount val="1"/>
                <c:pt idx="0">
                  <c:v>Normalisation executée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'!$A$3:$A$6</c:f>
              <c:strCache>
                <c:ptCount val="3"/>
                <c:pt idx="0">
                  <c:v>AKWA</c:v>
                </c:pt>
                <c:pt idx="1">
                  <c:v>KOUMASSI</c:v>
                </c:pt>
                <c:pt idx="2">
                  <c:v>NEW BELL</c:v>
                </c:pt>
              </c:strCache>
            </c:strRef>
          </c:cat>
          <c:val>
            <c:numRef>
              <c:f>'TCD '!$C$3:$C$6</c:f>
              <c:numCache>
                <c:formatCode>General</c:formatCode>
                <c:ptCount val="3"/>
                <c:pt idx="0">
                  <c:v>31</c:v>
                </c:pt>
                <c:pt idx="1">
                  <c:v>48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7E-466F-A876-08CF7EF47F42}"/>
            </c:ext>
          </c:extLst>
        </c:ser>
        <c:ser>
          <c:idx val="2"/>
          <c:order val="2"/>
          <c:tx>
            <c:strRef>
              <c:f>'TCD '!$D$2</c:f>
              <c:strCache>
                <c:ptCount val="1"/>
                <c:pt idx="0">
                  <c:v>Normalisation Total </c:v>
                </c:pt>
              </c:strCache>
            </c:strRef>
          </c:tx>
          <c:spPr>
            <a:noFill/>
            <a:ln>
              <a:noFill/>
            </a:ln>
            <a:effectLst>
              <a:outerShdw blurRad="1270000" sx="1000" sy="1000" algn="ctr" rotWithShape="0">
                <a:srgbClr val="000000"/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'!$A$3:$A$6</c:f>
              <c:strCache>
                <c:ptCount val="3"/>
                <c:pt idx="0">
                  <c:v>AKWA</c:v>
                </c:pt>
                <c:pt idx="1">
                  <c:v>KOUMASSI</c:v>
                </c:pt>
                <c:pt idx="2">
                  <c:v>NEW BELL</c:v>
                </c:pt>
              </c:strCache>
            </c:strRef>
          </c:cat>
          <c:val>
            <c:numRef>
              <c:f>'TCD '!$D$3:$D$6</c:f>
              <c:numCache>
                <c:formatCode>General</c:formatCode>
                <c:ptCount val="3"/>
                <c:pt idx="0">
                  <c:v>40</c:v>
                </c:pt>
                <c:pt idx="1">
                  <c:v>72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07E-466F-A876-08CF7EF47F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972937183"/>
        <c:axId val="2031208463"/>
      </c:barChart>
      <c:catAx>
        <c:axId val="197293718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fr-FR"/>
          </a:p>
        </c:txPr>
        <c:crossAx val="2031208463"/>
        <c:crosses val="autoZero"/>
        <c:auto val="1"/>
        <c:lblAlgn val="ctr"/>
        <c:lblOffset val="100"/>
        <c:noMultiLvlLbl val="0"/>
        <c:extLst/>
      </c:catAx>
      <c:valAx>
        <c:axId val="20312084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72937183"/>
        <c:crosses val="autoZero"/>
        <c:crossBetween val="between"/>
        <c:extLst/>
      </c:valAx>
      <c:spPr>
        <a:noFill/>
        <a:ln>
          <a:noFill/>
        </a:ln>
        <a:effectLst>
          <a:outerShdw blurRad="50800" dist="266700" dir="5400000" sx="17000" sy="17000" algn="ctr" rotWithShape="0">
            <a:srgbClr val="000000">
              <a:alpha val="43137"/>
            </a:srgbClr>
          </a:outerShdw>
        </a:effectLst>
      </c:spPr>
    </c:plotArea>
    <c:plotVisOnly val="1"/>
    <c:dispBlanksAs val="gap"/>
    <c:showDLblsOverMax val="0"/>
    <c:extLst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bg1"/>
      </a:solidFill>
      <a:round/>
    </a:ln>
    <a:effectLst/>
    <a:scene3d>
      <a:camera prst="orthographicFront"/>
      <a:lightRig rig="soft" dir="t">
        <a:rot lat="0" lon="0" rev="0"/>
      </a:lightRig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BASE SUIVI DES NORMALISATIONS.xlsm]TCD !Tableau croisé dynamique5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fr-FR" sz="11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1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Normalisations exécutées vs Prises en charge dans CMS</a:t>
            </a:r>
          </a:p>
        </c:rich>
      </c:tx>
      <c:layout>
        <c:manualLayout>
          <c:xMode val="edge"/>
          <c:yMode val="edge"/>
          <c:x val="0.13980228337040315"/>
          <c:y val="4.663770722279506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fr-FR" sz="11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639240049122297E-2"/>
          <c:y val="0.20588785896037803"/>
          <c:w val="0.94475830671754013"/>
          <c:h val="0.663831334060341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'!$F$12</c:f>
              <c:strCache>
                <c:ptCount val="1"/>
                <c:pt idx="0">
                  <c:v> Normalisation exécutée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'!$E$13:$E$16</c:f>
              <c:strCache>
                <c:ptCount val="3"/>
                <c:pt idx="0">
                  <c:v>AKWA</c:v>
                </c:pt>
                <c:pt idx="1">
                  <c:v>KOUMASSI</c:v>
                </c:pt>
                <c:pt idx="2">
                  <c:v>NEW BELL</c:v>
                </c:pt>
              </c:strCache>
            </c:strRef>
          </c:cat>
          <c:val>
            <c:numRef>
              <c:f>'TCD '!$F$13:$F$16</c:f>
              <c:numCache>
                <c:formatCode>General</c:formatCode>
                <c:ptCount val="3"/>
                <c:pt idx="0">
                  <c:v>31</c:v>
                </c:pt>
                <c:pt idx="1">
                  <c:v>48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C5-4546-9150-30C847CC129C}"/>
            </c:ext>
          </c:extLst>
        </c:ser>
        <c:ser>
          <c:idx val="1"/>
          <c:order val="1"/>
          <c:tx>
            <c:strRef>
              <c:f>'TCD '!$G$12</c:f>
              <c:strCache>
                <c:ptCount val="1"/>
                <c:pt idx="0">
                  <c:v>PRISE EN CHARGE DANS CMS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'!$E$13:$E$16</c:f>
              <c:strCache>
                <c:ptCount val="3"/>
                <c:pt idx="0">
                  <c:v>AKWA</c:v>
                </c:pt>
                <c:pt idx="1">
                  <c:v>KOUMASSI</c:v>
                </c:pt>
                <c:pt idx="2">
                  <c:v>NEW BELL</c:v>
                </c:pt>
              </c:strCache>
            </c:strRef>
          </c:cat>
          <c:val>
            <c:numRef>
              <c:f>'TCD '!$G$13:$G$16</c:f>
              <c:numCache>
                <c:formatCode>General</c:formatCode>
                <c:ptCount val="3"/>
                <c:pt idx="0">
                  <c:v>20</c:v>
                </c:pt>
                <c:pt idx="1">
                  <c:v>33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C5-4546-9150-30C847CC12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36637631"/>
        <c:axId val="641534095"/>
      </c:barChart>
      <c:catAx>
        <c:axId val="6366376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fr-FR"/>
          </a:p>
        </c:txPr>
        <c:crossAx val="641534095"/>
        <c:crosses val="autoZero"/>
        <c:auto val="1"/>
        <c:lblAlgn val="ctr"/>
        <c:lblOffset val="100"/>
        <c:noMultiLvlLbl val="0"/>
      </c:catAx>
      <c:valAx>
        <c:axId val="64153409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6376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bg1"/>
      </a:solidFill>
      <a:round/>
    </a:ln>
    <a:effectLst/>
    <a:scene3d>
      <a:camera prst="orthographicFront"/>
      <a:lightRig rig="soft" dir="t">
        <a:rot lat="0" lon="0" rev="0"/>
      </a:lightRig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BASE SUIVI DES NORMALISATIONS.xlsm]TCD !Tableau croisé dynamique6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fr-FR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fr-FR" sz="14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Suivi Hebdomadaire des Prises en charge   dans CMS</a:t>
            </a:r>
          </a:p>
        </c:rich>
      </c:tx>
      <c:layout>
        <c:manualLayout>
          <c:xMode val="edge"/>
          <c:yMode val="edge"/>
          <c:x val="0.35579205374574463"/>
          <c:y val="0.12551158814626956"/>
        </c:manualLayout>
      </c:layout>
      <c:overlay val="0"/>
      <c:spPr>
        <a:solidFill>
          <a:schemeClr val="bg1"/>
        </a:solidFill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747216942709746E-2"/>
          <c:y val="0.15202879640044994"/>
          <c:w val="0.94475830671754013"/>
          <c:h val="0.68601244844394449"/>
        </c:manualLayout>
      </c:layout>
      <c:lineChart>
        <c:grouping val="standard"/>
        <c:varyColors val="0"/>
        <c:ser>
          <c:idx val="0"/>
          <c:order val="0"/>
          <c:tx>
            <c:strRef>
              <c:f>'TCD '!$K$14</c:f>
              <c:strCache>
                <c:ptCount val="1"/>
                <c:pt idx="0">
                  <c:v>Normalisations exécutées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'TCD '!$J$15:$J$22</c:f>
              <c:strCache>
                <c:ptCount val="7"/>
                <c:pt idx="0">
                  <c:v>lundi</c:v>
                </c:pt>
                <c:pt idx="1">
                  <c:v>mardi</c:v>
                </c:pt>
                <c:pt idx="2">
                  <c:v>mercredi</c:v>
                </c:pt>
                <c:pt idx="3">
                  <c:v>jeudi</c:v>
                </c:pt>
                <c:pt idx="4">
                  <c:v>vendredi</c:v>
                </c:pt>
                <c:pt idx="5">
                  <c:v>samedi</c:v>
                </c:pt>
                <c:pt idx="6">
                  <c:v>dimanche</c:v>
                </c:pt>
              </c:strCache>
            </c:strRef>
          </c:cat>
          <c:val>
            <c:numRef>
              <c:f>'TCD '!$K$15:$K$22</c:f>
              <c:numCache>
                <c:formatCode>General</c:formatCode>
                <c:ptCount val="7"/>
                <c:pt idx="0">
                  <c:v>48</c:v>
                </c:pt>
                <c:pt idx="1">
                  <c:v>26</c:v>
                </c:pt>
                <c:pt idx="2">
                  <c:v>13</c:v>
                </c:pt>
                <c:pt idx="3">
                  <c:v>16</c:v>
                </c:pt>
                <c:pt idx="4">
                  <c:v>22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342-4014-8CCE-1F8EED7FE54F}"/>
            </c:ext>
          </c:extLst>
        </c:ser>
        <c:ser>
          <c:idx val="1"/>
          <c:order val="1"/>
          <c:tx>
            <c:strRef>
              <c:f>'TCD '!$L$14</c:f>
              <c:strCache>
                <c:ptCount val="1"/>
                <c:pt idx="0">
                  <c:v>PRISE EN CHARGE DANS CMS 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'TCD '!$J$15:$J$22</c:f>
              <c:strCache>
                <c:ptCount val="7"/>
                <c:pt idx="0">
                  <c:v>lundi</c:v>
                </c:pt>
                <c:pt idx="1">
                  <c:v>mardi</c:v>
                </c:pt>
                <c:pt idx="2">
                  <c:v>mercredi</c:v>
                </c:pt>
                <c:pt idx="3">
                  <c:v>jeudi</c:v>
                </c:pt>
                <c:pt idx="4">
                  <c:v>vendredi</c:v>
                </c:pt>
                <c:pt idx="5">
                  <c:v>samedi</c:v>
                </c:pt>
                <c:pt idx="6">
                  <c:v>dimanche</c:v>
                </c:pt>
              </c:strCache>
            </c:strRef>
          </c:cat>
          <c:val>
            <c:numRef>
              <c:f>'TCD '!$L$15:$L$22</c:f>
              <c:numCache>
                <c:formatCode>General</c:formatCode>
                <c:ptCount val="7"/>
                <c:pt idx="0">
                  <c:v>18</c:v>
                </c:pt>
                <c:pt idx="1">
                  <c:v>17</c:v>
                </c:pt>
                <c:pt idx="2">
                  <c:v>7</c:v>
                </c:pt>
                <c:pt idx="3">
                  <c:v>16</c:v>
                </c:pt>
                <c:pt idx="4">
                  <c:v>22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D342-4014-8CCE-1F8EED7FE5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36637631"/>
        <c:axId val="641534095"/>
      </c:lineChart>
      <c:catAx>
        <c:axId val="63663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fr-FR"/>
          </a:p>
        </c:txPr>
        <c:crossAx val="641534095"/>
        <c:crosses val="autoZero"/>
        <c:auto val="1"/>
        <c:lblAlgn val="ctr"/>
        <c:lblOffset val="100"/>
        <c:noMultiLvlLbl val="0"/>
      </c:catAx>
      <c:valAx>
        <c:axId val="64153409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637631"/>
        <c:crosses val="autoZero"/>
        <c:crossBetween val="between"/>
      </c:valAx>
      <c:spPr>
        <a:noFill/>
        <a:ln cap="rnd">
          <a:noFill/>
          <a:bevel/>
        </a:ln>
      </c:spPr>
    </c:plotArea>
    <c:plotVisOnly val="1"/>
    <c:dispBlanksAs val="gap"/>
    <c:showDLblsOverMax val="0"/>
    <c:extLst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bg1"/>
      </a:solidFill>
      <a:round/>
    </a:ln>
    <a:effectLst/>
    <a:scene3d>
      <a:camera prst="orthographicFront"/>
      <a:lightRig rig="threePt" dir="t"/>
    </a:scene3d>
    <a:sp3d>
      <a:bevelT w="139700" h="139700"/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3" Type="http://schemas.openxmlformats.org/officeDocument/2006/relationships/chart" Target="../charts/chart1.xml"/><Relationship Id="rId7" Type="http://schemas.openxmlformats.org/officeDocument/2006/relationships/image" Target="../media/image4.svg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hyperlink" Target="https://www.abyssproject.net/2014/04/mises-jour-darticles-avril-2014/" TargetMode="External"/><Relationship Id="rId4" Type="http://schemas.openxmlformats.org/officeDocument/2006/relationships/chart" Target="../charts/chart2.xml"/><Relationship Id="rId9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114300</xdr:rowOff>
        </xdr:from>
        <xdr:to>
          <xdr:col>3</xdr:col>
          <xdr:colOff>9525</xdr:colOff>
          <xdr:row>2</xdr:row>
          <xdr:rowOff>85725</xdr:rowOff>
        </xdr:to>
        <xdr:sp macro="" textlink="">
          <xdr:nvSpPr>
            <xdr:cNvPr id="9217" name="Update/Actualis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M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Update/Actualiser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333489</xdr:colOff>
      <xdr:row>3</xdr:row>
      <xdr:rowOff>83344</xdr:rowOff>
    </xdr:from>
    <xdr:to>
      <xdr:col>11</xdr:col>
      <xdr:colOff>642937</xdr:colOff>
      <xdr:row>8</xdr:row>
      <xdr:rowOff>119062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6405677" y="654844"/>
          <a:ext cx="2595448" cy="988218"/>
          <a:chOff x="5704048" y="557083"/>
          <a:chExt cx="2390780" cy="867435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7" name="Rectangle : coins arrondis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5704048" y="557083"/>
            <a:ext cx="2390780" cy="448335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4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Normalisations</a:t>
            </a:r>
            <a:r>
              <a:rPr lang="fr-FR" sz="140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400" b="1">
                <a:solidFill>
                  <a:schemeClr val="tx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Total</a:t>
            </a:r>
            <a:endParaRPr lang="fr-FR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TCD '!H3">
        <xdr:nvSpPr>
          <xdr:cNvPr id="10" name="ZoneText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5925317" y="1062568"/>
            <a:ext cx="2049192" cy="36195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F6B2CE2-47D7-48A6-8A34-879EA24D7094}" type="TxLink">
              <a:rPr lang="en-US" sz="1800" b="1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pPr marL="0" indent="0" algn="ctr"/>
              <a:t>197</a:t>
            </a:fld>
            <a:endParaRPr lang="fr-FR" sz="40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12</xdr:col>
      <xdr:colOff>54001</xdr:colOff>
      <xdr:row>3</xdr:row>
      <xdr:rowOff>92614</xdr:rowOff>
    </xdr:from>
    <xdr:to>
      <xdr:col>16</xdr:col>
      <xdr:colOff>32130</xdr:colOff>
      <xdr:row>8</xdr:row>
      <xdr:rowOff>119062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9174189" y="664114"/>
          <a:ext cx="3026129" cy="978948"/>
          <a:chOff x="8999562" y="533144"/>
          <a:chExt cx="3026129" cy="931324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8" name="Rectangle : coins arrondis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8999562" y="533144"/>
            <a:ext cx="3026129" cy="439465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 b="1">
                <a:solidFill>
                  <a:schemeClr val="tx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Normalisations en instances</a:t>
            </a:r>
            <a:endParaRPr lang="fr-FR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TCD '!I3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9419167" y="1032932"/>
            <a:ext cx="2392450" cy="431536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2DDD54F1-EB5C-4CBC-ADEC-9CC731F16D78}" type="TxLink">
              <a:rPr lang="en-US" sz="1600" b="1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pPr marL="0" indent="0" algn="ctr"/>
              <a:t>70</a:t>
            </a:fld>
            <a:endParaRPr lang="fr-FR" sz="24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1" name="Image 30">
                <a:extLst>
                  <a:ext uri="{FF2B5EF4-FFF2-40B4-BE49-F238E27FC236}">
                    <a16:creationId xmlns:a16="http://schemas.microsoft.com/office/drawing/2014/main" id="{00000000-0008-0000-0100-00001F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TCD '!$I$4" spid="_x0000_s9515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1046734" y="1079696"/>
                <a:ext cx="687916" cy="314635"/>
              </a:xfrm>
              <a:prstGeom prst="rect">
                <a:avLst/>
              </a:prstGeom>
              <a:grpFill/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3</xdr:col>
      <xdr:colOff>238124</xdr:colOff>
      <xdr:row>3</xdr:row>
      <xdr:rowOff>71437</xdr:rowOff>
    </xdr:from>
    <xdr:to>
      <xdr:col>7</xdr:col>
      <xdr:colOff>726280</xdr:colOff>
      <xdr:row>8</xdr:row>
      <xdr:rowOff>142874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2500312" y="642937"/>
          <a:ext cx="3536156" cy="1023937"/>
          <a:chOff x="2541851" y="540277"/>
          <a:chExt cx="3518430" cy="1055160"/>
        </a:xfrm>
        <a:solidFill>
          <a:schemeClr val="accent6">
            <a:lumMod val="40000"/>
            <a:lumOff val="60000"/>
          </a:schemeClr>
        </a:solidFill>
      </xdr:grpSpPr>
      <xdr:grpSp>
        <xdr:nvGrpSpPr>
          <xdr:cNvPr id="33" name="Groupe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GrpSpPr/>
        </xdr:nvGrpSpPr>
        <xdr:grpSpPr>
          <a:xfrm>
            <a:off x="2541851" y="540277"/>
            <a:ext cx="3518430" cy="1055160"/>
            <a:chOff x="2500840" y="537631"/>
            <a:chExt cx="3304117" cy="864660"/>
          </a:xfrm>
          <a:grpFill/>
        </xdr:grpSpPr>
        <xdr:sp macro="" textlink="">
          <xdr:nvSpPr>
            <xdr:cNvPr id="6" name="Rectangle : coins arrondis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2500840" y="537631"/>
              <a:ext cx="3304117" cy="457202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4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Normalisations Exécutées</a:t>
              </a:r>
            </a:p>
          </xdr:txBody>
        </xdr:sp>
        <xdr:sp macro="" textlink="'TCD '!G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2652182" y="1033444"/>
              <a:ext cx="2962276" cy="368847"/>
            </a:xfrm>
            <a:prstGeom prst="roundRect">
              <a:avLst/>
            </a:prstGeom>
            <a:grpFill/>
            <a:ln>
              <a:noFill/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F7EB297-0CBE-4F63-B812-42A9D1E234B6}" type="TxLink">
                <a:rPr lang="en-US" sz="1600" b="1" i="0" u="none" strike="noStrike">
                  <a:solidFill>
                    <a:srgbClr val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pPr algn="ctr"/>
                <a:t>127</a:t>
              </a:fld>
              <a:endParaRPr lang="en-US" sz="36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40" name="Image 39">
                <a:extLst>
                  <a:ext uri="{FF2B5EF4-FFF2-40B4-BE49-F238E27FC236}">
                    <a16:creationId xmlns:a16="http://schemas.microsoft.com/office/drawing/2014/main" id="{00000000-0008-0000-0100-000028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TCD '!$G$4" spid="_x0000_s9516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4621910" y="1188220"/>
                <a:ext cx="1178718" cy="359955"/>
              </a:xfrm>
              <a:prstGeom prst="rect">
                <a:avLst/>
              </a:prstGeom>
              <a:grpFill/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16</xdr:col>
      <xdr:colOff>452337</xdr:colOff>
      <xdr:row>1</xdr:row>
      <xdr:rowOff>27268</xdr:rowOff>
    </xdr:from>
    <xdr:to>
      <xdr:col>19</xdr:col>
      <xdr:colOff>664001</xdr:colOff>
      <xdr:row>7</xdr:row>
      <xdr:rowOff>81696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2620525" y="217768"/>
          <a:ext cx="2497664" cy="1197428"/>
          <a:chOff x="12466103" y="68037"/>
          <a:chExt cx="2491892" cy="1208973"/>
        </a:xfrm>
        <a:solidFill>
          <a:schemeClr val="accent6">
            <a:lumMod val="40000"/>
            <a:lumOff val="60000"/>
          </a:schemeClr>
        </a:solidFill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12466103" y="68037"/>
            <a:ext cx="2491892" cy="1208973"/>
            <a:chOff x="12700947" y="460943"/>
            <a:chExt cx="2497664" cy="1197428"/>
          </a:xfrm>
          <a:grpFill/>
        </xdr:grpSpPr>
        <xdr:sp macro="" textlink="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2700947" y="460943"/>
              <a:ext cx="2497664" cy="1197428"/>
            </a:xfrm>
            <a:prstGeom prst="rect">
              <a:avLst/>
            </a:prstGeom>
            <a:grpFill/>
            <a:ln w="9525" cmpd="sng">
              <a:noFill/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  <a:scene3d>
              <a:camera prst="orthographicFront">
                <a:rot lat="0" lon="0" rev="0"/>
              </a:camera>
              <a:lightRig rig="brightRoom" dir="t">
                <a:rot lat="0" lon="0" rev="600000"/>
              </a:lightRig>
            </a:scene3d>
            <a:sp3d prstMaterial="metal">
              <a:bevelT w="38100" h="57150" prst="angle"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grpSp>
          <xdr:nvGrpSpPr>
            <xdr:cNvPr id="14" name="Groupe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pSpPr/>
          </xdr:nvGrpSpPr>
          <xdr:grpSpPr>
            <a:xfrm>
              <a:off x="13150794" y="523874"/>
              <a:ext cx="1885099" cy="1059657"/>
              <a:chOff x="13109973" y="578303"/>
              <a:chExt cx="1885099" cy="1059657"/>
            </a:xfrm>
            <a:grpFill/>
          </xdr:grpSpPr>
          <xdr:sp macro="" textlink="">
            <xdr:nvSpPr>
              <xdr:cNvPr id="15" name="Rectangle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SpPr/>
            </xdr:nvSpPr>
            <xdr:spPr>
              <a:xfrm>
                <a:off x="13141095" y="1285646"/>
                <a:ext cx="1853977" cy="352314"/>
              </a:xfrm>
              <a:prstGeom prst="rect">
                <a:avLst/>
              </a:prstGeom>
              <a:grpFill/>
              <a:ln>
                <a:noFill/>
              </a:ln>
              <a:effectLst>
                <a:outerShdw blurRad="57785" dist="33020" dir="3180000" algn="ctr">
                  <a:srgbClr val="000000">
                    <a:alpha val="30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rightRoom" dir="t">
                  <a:rot lat="0" lon="0" rev="600000"/>
                </a:lightRig>
              </a:scene3d>
              <a:sp3d prstMaterial="metal">
                <a:bevelT w="38100" h="57150" prst="angle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Prise  en Charge dans CMS</a:t>
                </a:r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SpPr/>
            </xdr:nvSpPr>
            <xdr:spPr>
              <a:xfrm>
                <a:off x="13121784" y="944221"/>
                <a:ext cx="1873287" cy="288927"/>
              </a:xfrm>
              <a:prstGeom prst="rect">
                <a:avLst/>
              </a:prstGeom>
              <a:grpFill/>
              <a:ln>
                <a:noFill/>
              </a:ln>
              <a:effectLst>
                <a:outerShdw blurRad="57785" dist="33020" dir="3180000" algn="ctr">
                  <a:srgbClr val="000000">
                    <a:alpha val="30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rightRoom" dir="t">
                  <a:rot lat="0" lon="0" rev="600000"/>
                </a:lightRig>
              </a:scene3d>
              <a:sp3d prstMaterial="metal">
                <a:bevelT w="38100" h="57150" prst="angle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11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Normalisations en instance</a:t>
                </a:r>
              </a:p>
            </xdr:txBody>
          </xdr:sp>
          <xdr:sp macro="" textlink="">
            <xdr:nvSpPr>
              <xdr:cNvPr id="20" name="Rectangle 19">
                <a:extLst>
                  <a:ext uri="{FF2B5EF4-FFF2-40B4-BE49-F238E27FC236}">
                    <a16:creationId xmlns:a16="http://schemas.microsoft.com/office/drawing/2014/main" id="{00000000-0008-0000-0100-000014000000}"/>
                  </a:ext>
                </a:extLst>
              </xdr:cNvPr>
              <xdr:cNvSpPr/>
            </xdr:nvSpPr>
            <xdr:spPr>
              <a:xfrm>
                <a:off x="13109973" y="578303"/>
                <a:ext cx="1861287" cy="309563"/>
              </a:xfrm>
              <a:prstGeom prst="rect">
                <a:avLst/>
              </a:prstGeom>
              <a:grpFill/>
              <a:ln>
                <a:noFill/>
              </a:ln>
              <a:effectLst>
                <a:outerShdw blurRad="57785" dist="33020" dir="3180000" algn="ctr">
                  <a:srgbClr val="000000">
                    <a:alpha val="30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rightRoom" dir="t">
                  <a:rot lat="0" lon="0" rev="600000"/>
                </a:lightRig>
              </a:scene3d>
              <a:sp3d prstMaterial="metal">
                <a:bevelT w="38100" h="57150" prst="angle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Normalisations</a:t>
                </a:r>
                <a:r>
                  <a:rPr lang="fr-FR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Exécutées</a:t>
                </a:r>
                <a:endParaRPr lang="fr-FR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36" name="Organigramme : Connecteur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2608597" y="924479"/>
            <a:ext cx="178594" cy="180518"/>
          </a:xfrm>
          <a:prstGeom prst="flowChartConnector">
            <a:avLst/>
          </a:prstGeom>
          <a:solidFill>
            <a:srgbClr val="00B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2" name="Organigramme : Connecteur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594310" y="561061"/>
            <a:ext cx="178594" cy="180519"/>
          </a:xfrm>
          <a:prstGeom prst="flowChartConnector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3" name="Organigramme : Connecteur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2591930" y="211474"/>
            <a:ext cx="178594" cy="180518"/>
          </a:xfrm>
          <a:prstGeom prst="flowChartConnector">
            <a:avLst/>
          </a:prstGeom>
          <a:solidFill>
            <a:srgbClr val="0070C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3</xdr:col>
      <xdr:colOff>238124</xdr:colOff>
      <xdr:row>9</xdr:row>
      <xdr:rowOff>59531</xdr:rowOff>
    </xdr:from>
    <xdr:to>
      <xdr:col>9</xdr:col>
      <xdr:colOff>500062</xdr:colOff>
      <xdr:row>26</xdr:row>
      <xdr:rowOff>154781</xdr:rowOff>
    </xdr:to>
    <xdr:graphicFrame macro="">
      <xdr:nvGraphicFramePr>
        <xdr:cNvPr id="37" name="Suivi Normalisation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523875</xdr:colOff>
      <xdr:row>9</xdr:row>
      <xdr:rowOff>47625</xdr:rowOff>
    </xdr:from>
    <xdr:to>
      <xdr:col>16</xdr:col>
      <xdr:colOff>83343</xdr:colOff>
      <xdr:row>26</xdr:row>
      <xdr:rowOff>142874</xdr:rowOff>
    </xdr:to>
    <xdr:graphicFrame macro="">
      <xdr:nvGraphicFramePr>
        <xdr:cNvPr id="41" name="Suivi Prise en Char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252319</xdr:colOff>
      <xdr:row>26</xdr:row>
      <xdr:rowOff>170126</xdr:rowOff>
    </xdr:from>
    <xdr:to>
      <xdr:col>16</xdr:col>
      <xdr:colOff>79257</xdr:colOff>
      <xdr:row>43</xdr:row>
      <xdr:rowOff>119062</xdr:rowOff>
    </xdr:to>
    <xdr:graphicFrame macro="">
      <xdr:nvGraphicFramePr>
        <xdr:cNvPr id="44" name="Suivi Hebdomadaire des Norma 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71437</xdr:colOff>
      <xdr:row>2</xdr:row>
      <xdr:rowOff>128588</xdr:rowOff>
    </xdr:from>
    <xdr:to>
      <xdr:col>3</xdr:col>
      <xdr:colOff>47624</xdr:colOff>
      <xdr:row>8</xdr:row>
      <xdr:rowOff>144317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GENCE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NC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438" y="509589"/>
              <a:ext cx="2131218" cy="8596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148315</xdr:colOff>
      <xdr:row>2</xdr:row>
      <xdr:rowOff>102487</xdr:rowOff>
    </xdr:from>
    <xdr:to>
      <xdr:col>2</xdr:col>
      <xdr:colOff>472165</xdr:colOff>
      <xdr:row>4</xdr:row>
      <xdr:rowOff>21526</xdr:rowOff>
    </xdr:to>
    <xdr:pic>
      <xdr:nvPicPr>
        <xdr:cNvPr id="46" name="Graphique 45" descr="Arrêter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672315" y="483487"/>
          <a:ext cx="323850" cy="300039"/>
        </a:xfrm>
        <a:prstGeom prst="rect">
          <a:avLst/>
        </a:prstGeom>
      </xdr:spPr>
    </xdr:pic>
    <xdr:clientData/>
  </xdr:twoCellAnchor>
  <xdr:twoCellAnchor editAs="absolute">
    <xdr:from>
      <xdr:col>0</xdr:col>
      <xdr:colOff>76103</xdr:colOff>
      <xdr:row>8</xdr:row>
      <xdr:rowOff>157935</xdr:rowOff>
    </xdr:from>
    <xdr:to>
      <xdr:col>3</xdr:col>
      <xdr:colOff>57726</xdr:colOff>
      <xdr:row>12</xdr:row>
      <xdr:rowOff>178594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née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103" y="1681935"/>
              <a:ext cx="2243811" cy="7826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200723</xdr:colOff>
      <xdr:row>8</xdr:row>
      <xdr:rowOff>156224</xdr:rowOff>
    </xdr:from>
    <xdr:to>
      <xdr:col>2</xdr:col>
      <xdr:colOff>505980</xdr:colOff>
      <xdr:row>10</xdr:row>
      <xdr:rowOff>17511</xdr:rowOff>
    </xdr:to>
    <xdr:pic>
      <xdr:nvPicPr>
        <xdr:cNvPr id="54" name="Graphique 53" descr="Arrêter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724723" y="1680224"/>
          <a:ext cx="305257" cy="242287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18</xdr:row>
      <xdr:rowOff>93349</xdr:rowOff>
    </xdr:from>
    <xdr:to>
      <xdr:col>3</xdr:col>
      <xdr:colOff>69633</xdr:colOff>
      <xdr:row>27</xdr:row>
      <xdr:rowOff>129527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Jours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ur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3522349"/>
              <a:ext cx="2246096" cy="17506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185089</xdr:colOff>
      <xdr:row>18</xdr:row>
      <xdr:rowOff>105352</xdr:rowOff>
    </xdr:from>
    <xdr:to>
      <xdr:col>2</xdr:col>
      <xdr:colOff>444529</xdr:colOff>
      <xdr:row>19</xdr:row>
      <xdr:rowOff>172369</xdr:rowOff>
    </xdr:to>
    <xdr:pic>
      <xdr:nvPicPr>
        <xdr:cNvPr id="55" name="Graphique 54" descr="Arrêter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09089" y="3534352"/>
          <a:ext cx="259440" cy="257517"/>
        </a:xfrm>
        <a:prstGeom prst="rect">
          <a:avLst/>
        </a:prstGeom>
      </xdr:spPr>
    </xdr:pic>
    <xdr:clientData/>
  </xdr:twoCellAnchor>
  <xdr:twoCellAnchor editAs="absolute">
    <xdr:from>
      <xdr:col>0</xdr:col>
      <xdr:colOff>88010</xdr:colOff>
      <xdr:row>13</xdr:row>
      <xdr:rowOff>7721</xdr:rowOff>
    </xdr:from>
    <xdr:to>
      <xdr:col>3</xdr:col>
      <xdr:colOff>60012</xdr:colOff>
      <xdr:row>18</xdr:row>
      <xdr:rowOff>59531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ois/Month's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/Month'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0" y="2484221"/>
              <a:ext cx="2234190" cy="11334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155838</xdr:colOff>
      <xdr:row>13</xdr:row>
      <xdr:rowOff>6494</xdr:rowOff>
    </xdr:from>
    <xdr:to>
      <xdr:col>2</xdr:col>
      <xdr:colOff>463019</xdr:colOff>
      <xdr:row>14</xdr:row>
      <xdr:rowOff>43054</xdr:rowOff>
    </xdr:to>
    <xdr:pic>
      <xdr:nvPicPr>
        <xdr:cNvPr id="56" name="Graphique 55" descr="Arrêter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679838" y="2482994"/>
          <a:ext cx="307181" cy="227060"/>
        </a:xfrm>
        <a:prstGeom prst="rect">
          <a:avLst/>
        </a:prstGeom>
      </xdr:spPr>
    </xdr:pic>
    <xdr:clientData/>
  </xdr:twoCellAnchor>
  <xdr:twoCellAnchor editAs="oneCell">
    <xdr:from>
      <xdr:col>0</xdr:col>
      <xdr:colOff>88876</xdr:colOff>
      <xdr:row>27</xdr:row>
      <xdr:rowOff>138377</xdr:rowOff>
    </xdr:from>
    <xdr:to>
      <xdr:col>3</xdr:col>
      <xdr:colOff>47624</xdr:colOff>
      <xdr:row>43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ENTREPRISE EN CHARGE 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EPRISE EN CHARGE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876" y="5281877"/>
              <a:ext cx="2220936" cy="30524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145159</xdr:colOff>
      <xdr:row>27</xdr:row>
      <xdr:rowOff>156011</xdr:rowOff>
    </xdr:from>
    <xdr:to>
      <xdr:col>2</xdr:col>
      <xdr:colOff>452340</xdr:colOff>
      <xdr:row>29</xdr:row>
      <xdr:rowOff>3996</xdr:rowOff>
    </xdr:to>
    <xdr:pic>
      <xdr:nvPicPr>
        <xdr:cNvPr id="45" name="Graphique 44" descr="Arrêter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669159" y="5299511"/>
          <a:ext cx="307181" cy="228985"/>
        </a:xfrm>
        <a:prstGeom prst="rect">
          <a:avLst/>
        </a:prstGeom>
      </xdr:spPr>
    </xdr:pic>
    <xdr:clientData/>
  </xdr:twoCellAnchor>
  <xdr:twoCellAnchor>
    <xdr:from>
      <xdr:col>3</xdr:col>
      <xdr:colOff>136788</xdr:colOff>
      <xdr:row>0</xdr:row>
      <xdr:rowOff>86783</xdr:rowOff>
    </xdr:from>
    <xdr:to>
      <xdr:col>16</xdr:col>
      <xdr:colOff>333375</xdr:colOff>
      <xdr:row>3</xdr:row>
      <xdr:rowOff>11905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2398976" y="86783"/>
          <a:ext cx="10102587" cy="496622"/>
          <a:chOff x="2387070" y="39158"/>
          <a:chExt cx="10102587" cy="496622"/>
        </a:xfrm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2387070" y="39158"/>
            <a:ext cx="9947805" cy="466918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900">
                <a:solidFill>
                  <a:sysClr val="windowText" lastClr="000000"/>
                </a:solidFill>
                <a:latin typeface="Algerian" panose="04020705040A02060702" pitchFamily="82" charset="0"/>
              </a:rPr>
              <a:t>SUIVI DES normalisations_DEC DLA SUD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 txBox="1"/>
        </xdr:nvSpPr>
        <xdr:spPr>
          <a:xfrm>
            <a:off x="9817651" y="146315"/>
            <a:ext cx="1671880" cy="3028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200" b="1" i="1" u="none" baseline="0">
                <a:solidFill>
                  <a:schemeClr val="bg1">
                    <a:lumMod val="50000"/>
                  </a:schemeClr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      </a:t>
            </a:r>
            <a:r>
              <a:rPr lang="fr-FR" sz="1600" b="1" i="1" u="none" baseline="0">
                <a:solidFill>
                  <a:schemeClr val="bg1">
                    <a:lumMod val="50000"/>
                  </a:schemeClr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Last</a:t>
            </a:r>
            <a:r>
              <a:rPr lang="fr-FR" sz="1200" b="1" i="1" u="none" baseline="0">
                <a:solidFill>
                  <a:schemeClr val="bg1">
                    <a:lumMod val="50000"/>
                  </a:schemeClr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 </a:t>
            </a:r>
            <a:r>
              <a:rPr lang="fr-FR" sz="1600" b="1" i="1" u="none" baseline="0">
                <a:solidFill>
                  <a:schemeClr val="bg1">
                    <a:lumMod val="50000"/>
                  </a:schemeClr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Update</a:t>
            </a:r>
            <a:r>
              <a:rPr lang="fr-FR" sz="1200" b="1" i="1" u="none" baseline="0">
                <a:solidFill>
                  <a:schemeClr val="bg1">
                    <a:lumMod val="50000"/>
                  </a:schemeClr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:</a:t>
            </a:r>
            <a:endParaRPr lang="fr-FR" sz="1200" b="1" i="1" u="none">
              <a:solidFill>
                <a:schemeClr val="bg1">
                  <a:lumMod val="50000"/>
                </a:schemeClr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pic>
        <xdr:nvPicPr>
          <xdr:cNvPr id="49" name="Imag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0"/>
              </a:ext>
            </a:extLst>
          </a:blip>
          <a:stretch>
            <a:fillRect/>
          </a:stretch>
        </xdr:blipFill>
        <xdr:spPr>
          <a:xfrm>
            <a:off x="9817651" y="130969"/>
            <a:ext cx="409816" cy="321468"/>
          </a:xfrm>
          <a:prstGeom prst="rect">
            <a:avLst/>
          </a:prstGeom>
        </xdr:spPr>
      </xdr:pic>
      <xdr:sp macro="" textlink="$P$2">
        <xdr:nvSpPr>
          <xdr:cNvPr id="50" name="ZoneTexte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 txBox="1"/>
        </xdr:nvSpPr>
        <xdr:spPr>
          <a:xfrm>
            <a:off x="11084719" y="107155"/>
            <a:ext cx="1404938" cy="42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9813FB5-0F4F-4BF1-B66D-CD88D5F8BAB4}" type="TxLink">
              <a:rPr lang="en-US" sz="1400" b="1" i="1" u="none" strike="noStrike" baseline="0">
                <a:solidFill>
                  <a:srgbClr val="000000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pPr algn="ctr"/>
              <a:t>10 mai 2024</a:t>
            </a:fld>
            <a:endParaRPr lang="fr-FR" sz="2000" b="1" i="1" u="non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oneCell">
    <xdr:from>
      <xdr:col>16</xdr:col>
      <xdr:colOff>347661</xdr:colOff>
      <xdr:row>9</xdr:row>
      <xdr:rowOff>50006</xdr:rowOff>
    </xdr:from>
    <xdr:to>
      <xdr:col>20</xdr:col>
      <xdr:colOff>285750</xdr:colOff>
      <xdr:row>26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Anomalies Signalées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malies Signal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15849" y="1764506"/>
              <a:ext cx="2986089" cy="3343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19</xdr:col>
      <xdr:colOff>448374</xdr:colOff>
      <xdr:row>9</xdr:row>
      <xdr:rowOff>58593</xdr:rowOff>
    </xdr:from>
    <xdr:to>
      <xdr:col>19</xdr:col>
      <xdr:colOff>753631</xdr:colOff>
      <xdr:row>10</xdr:row>
      <xdr:rowOff>110380</xdr:rowOff>
    </xdr:to>
    <xdr:pic>
      <xdr:nvPicPr>
        <xdr:cNvPr id="51" name="Graphique 50" descr="Arrêter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902562" y="1773093"/>
          <a:ext cx="305257" cy="242287"/>
        </a:xfrm>
        <a:prstGeom prst="rect">
          <a:avLst/>
        </a:prstGeom>
      </xdr:spPr>
    </xdr:pic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ean Rodrigue Awono" refreshedDate="45427.166880902776" backgroundQuery="1" createdVersion="6" refreshedVersion="6" minRefreshableVersion="3" recordCount="0" supportSubquery="1" supportAdvancedDrill="1" xr:uid="{37E45C0C-0E99-46ED-8E01-68FA944324BC}">
  <cacheSource type="external" connectionId="1"/>
  <cacheFields count="1">
    <cacheField name="[Data_Base].[AGENCE].[AGENCE]" caption="AGENCE" numFmtId="0" hierarchy="2" level="1">
      <sharedItems count="3">
        <s v="AKWA"/>
        <s v="KOUMASSI"/>
        <s v="NEW BELL"/>
      </sharedItems>
    </cacheField>
  </cacheFields>
  <cacheHierarchies count="75">
    <cacheHierarchy uniqueName="[Data_Base].[DATE D'ENTREE]" caption="DATE D'ENTREE" attribute="1" time="1" defaultMemberUniqueName="[Data_Base].[DATE D'ENTREE].[All]" allUniqueName="[Data_Base].[DATE D'ENTREE].[All]" dimensionUniqueName="[Data_Base]" displayFolder="" count="0" memberValueDatatype="7" unbalanced="0"/>
    <cacheHierarchy uniqueName="[Data_Base].[NOM DU CLIENT]" caption="NOM DU CLIENT" attribute="1" defaultMemberUniqueName="[Data_Base].[NOM DU CLIENT].[All]" allUniqueName="[Data_Base].[NOM DU CLIENT].[All]" dimensionUniqueName="[Data_Base]" displayFolder="" count="0" memberValueDatatype="130" unbalanced="0"/>
    <cacheHierarchy uniqueName="[Data_Base].[AGENCE]" caption="AGENCE" attribute="1" defaultMemberUniqueName="[Data_Base].[AGENCE].[All]" allUniqueName="[Data_Base].[AGENCE].[All]" dimensionUniqueName="[Data_Base]" displayFolder="" count="2" memberValueDatatype="130" unbalanced="0">
      <fieldsUsage count="2">
        <fieldUsage x="-1"/>
        <fieldUsage x="0"/>
      </fieldsUsage>
    </cacheHierarchy>
    <cacheHierarchy uniqueName="[Data_Base].[CONTRAT]" caption="CONTRAT" attribute="1" defaultMemberUniqueName="[Data_Base].[CONTRAT].[All]" allUniqueName="[Data_Base].[CONTRAT].[All]" dimensionUniqueName="[Data_Base]" displayFolder="" count="0" memberValueDatatype="130" unbalanced="0"/>
    <cacheHierarchy uniqueName="[Data_Base].[N°COMPTEUR]" caption="N°COMPTEUR" attribute="1" defaultMemberUniqueName="[Data_Base].[N°COMPTEUR].[All]" allUniqueName="[Data_Base].[N°COMPTEUR].[All]" dimensionUniqueName="[Data_Base]" displayFolder="" count="0" memberValueDatatype="130" unbalanced="0"/>
    <cacheHierarchy uniqueName="[Data_Base].[TYPE DE COMPTEUR]" caption="TYPE DE COMPTEUR" attribute="1" defaultMemberUniqueName="[Data_Base].[TYPE DE COMPTEUR].[All]" allUniqueName="[Data_Base].[TYPE DE COMPTEUR].[All]" dimensionUniqueName="[Data_Base]" displayFolder="" count="0" memberValueDatatype="130" unbalanced="0"/>
    <cacheHierarchy uniqueName="[Data_Base].[ACTIVITE CLIENT]" caption="ACTIVITE CLIENT" attribute="1" defaultMemberUniqueName="[Data_Base].[ACTIVITE CLIENT].[All]" allUniqueName="[Data_Base].[ACTIVITE CLIENT].[All]" dimensionUniqueName="[Data_Base]" displayFolder="" count="0" memberValueDatatype="130" unbalanced="0"/>
    <cacheHierarchy uniqueName="[Data_Base].[N° TELEPHONE CLIENT]" caption="N° TELEPHONE CLIENT" attribute="1" defaultMemberUniqueName="[Data_Base].[N° TELEPHONE CLIENT].[All]" allUniqueName="[Data_Base].[N° TELEPHONE CLIENT].[All]" dimensionUniqueName="[Data_Base]" displayFolder="" count="0" memberValueDatatype="130" unbalanced="0"/>
    <cacheHierarchy uniqueName="[Data_Base].[ANOMALIE SIGNALEE]" caption="ANOMALIE SIGNALEE" attribute="1" defaultMemberUniqueName="[Data_Base].[ANOMALIE SIGNALEE].[All]" allUniqueName="[Data_Base].[ANOMALIE SIGNALEE].[All]" dimensionUniqueName="[Data_Base]" displayFolder="" count="0" memberValueDatatype="130" unbalanced="0"/>
    <cacheHierarchy uniqueName="[Data_Base].[ACTION A MENER]" caption="ACTION A MENER" attribute="1" defaultMemberUniqueName="[Data_Base].[ACTION A MENER].[All]" allUniqueName="[Data_Base].[ACTION A MENER].[All]" dimensionUniqueName="[Data_Base]" displayFolder="" count="0" memberValueDatatype="130" unbalanced="0"/>
    <cacheHierarchy uniqueName="[Data_Base].[DATE PREVUE TRAVAUX]" caption="DATE PREVUE TRAVAUX" attribute="1" time="1" defaultMemberUniqueName="[Data_Base].[DATE PREVUE TRAVAUX].[All]" allUniqueName="[Data_Base].[DATE PREVUE TRAVAUX].[All]" dimensionUniqueName="[Data_Base]" displayFolder="" count="0" memberValueDatatype="7" unbalanced="0"/>
    <cacheHierarchy uniqueName="[Data_Base].[ENTREPRISE EN CHARGE]" caption="ENTREPRISE EN CHARGE" attribute="1" defaultMemberUniqueName="[Data_Base].[ENTREPRISE EN CHARGE].[All]" allUniqueName="[Data_Base].[ENTREPRISE EN CHARGE].[All]" dimensionUniqueName="[Data_Base]" displayFolder="" count="0" memberValueDatatype="130" unbalanced="0"/>
    <cacheHierarchy uniqueName="[Data_Base].[CHEF D'EQUIPE]" caption="CHEF D'EQUIPE" attribute="1" defaultMemberUniqueName="[Data_Base].[CHEF D'EQUIPE].[All]" allUniqueName="[Data_Base].[CHEF D'EQUIPE].[All]" dimensionUniqueName="[Data_Base]" displayFolder="" count="0" memberValueDatatype="130" unbalanced="0"/>
    <cacheHierarchy uniqueName="[Data_Base].[DATE EFFECTIVE DES TRAVAUX]" caption="DATE EFFECTIVE DES TRAVAUX" attribute="1" defaultMemberUniqueName="[Data_Base].[DATE EFFECTIVE DES TRAVAUX].[All]" allUniqueName="[Data_Base].[DATE EFFECTIVE DES TRAVAUX].[All]" dimensionUniqueName="[Data_Base]" displayFolder="" count="0" memberValueDatatype="130" unbalanced="0"/>
    <cacheHierarchy uniqueName="[Data_Base].[EQUIPE D'INTERVENTIONS]" caption="EQUIPE D'INTERVENTIONS" attribute="1" defaultMemberUniqueName="[Data_Base].[EQUIPE D'INTERVENTIONS].[All]" allUniqueName="[Data_Base].[EQUIPE D'INTERVENTIONS].[All]" dimensionUniqueName="[Data_Base]" displayFolder="" count="0" memberValueDatatype="130" unbalanced="0"/>
    <cacheHierarchy uniqueName="[Data_Base].[N°COMPTEUR POSE SUR LE TERRAIN]" caption="N°COMPTEUR POSE SUR LE TERRAIN" attribute="1" defaultMemberUniqueName="[Data_Base].[N°COMPTEUR POSE SUR LE TERRAIN].[All]" allUniqueName="[Data_Base].[N°COMPTEUR POSE SUR LE TERRAIN].[All]" dimensionUniqueName="[Data_Base]" displayFolder="" count="0" memberValueDatatype="130" unbalanced="0"/>
    <cacheHierarchy uniqueName="[Data_Base].[INDEX DE DEPOSE]" caption="INDEX DE DEPOSE" attribute="1" defaultMemberUniqueName="[Data_Base].[INDEX DE DEPOSE].[All]" allUniqueName="[Data_Base].[INDEX DE DEPOSE].[All]" dimensionUniqueName="[Data_Base]" displayFolder="" count="0" memberValueDatatype="130" unbalanced="0"/>
    <cacheHierarchy uniqueName="[Data_Base].[INDEX DE POSE]" caption="INDEX DE POSE" attribute="1" defaultMemberUniqueName="[Data_Base].[INDEX DE POSE].[All]" allUniqueName="[Data_Base].[INDEX DE POSE].[All]" dimensionUniqueName="[Data_Base]" displayFolder="" count="0" memberValueDatatype="130" unbalanced="0"/>
    <cacheHierarchy uniqueName="[Data_Base].[DISJONCTEUR POSE SUR LE TERRAIN]" caption="DISJONCTEUR POSE SUR LE TERRAIN" attribute="1" defaultMemberUniqueName="[Data_Base].[DISJONCTEUR POSE SUR LE TERRAIN].[All]" allUniqueName="[Data_Base].[DISJONCTEUR POSE SUR LE TERRAIN].[All]" dimensionUniqueName="[Data_Base]" displayFolder="" count="0" memberValueDatatype="20" unbalanced="0"/>
    <cacheHierarchy uniqueName="[Data_Base].[DATE PRISE EN CHARGE CMS]" caption="DATE PRISE EN CHARGE CMS" attribute="1" time="1" defaultMemberUniqueName="[Data_Base].[DATE PRISE EN CHARGE CMS].[All]" allUniqueName="[Data_Base].[DATE PRISE EN CHARGE CMS].[All]" dimensionUniqueName="[Data_Base]" displayFolder="" count="0" memberValueDatatype="7" unbalanced="0"/>
    <cacheHierarchy uniqueName="[Data_Base].[PRISE EN CHARGE DANS CMS]" caption="PRISE EN CHARGE DANS CMS" attribute="1" defaultMemberUniqueName="[Data_Base].[PRISE EN CHARGE DANS CMS].[All]" allUniqueName="[Data_Base].[PRISE EN CHARGE DANS CMS].[All]" dimensionUniqueName="[Data_Base]" displayFolder="" count="0" memberValueDatatype="20" unbalanced="0"/>
    <cacheHierarchy uniqueName="[Data_Base].[RECOMMANDATIONS]" caption="RECOMMANDATIONS" attribute="1" defaultMemberUniqueName="[Data_Base].[RECOMMANDATIONS].[All]" allUniqueName="[Data_Base].[RECOMMANDATIONS].[All]" dimensionUniqueName="[Data_Base]" displayFolder="" count="0" memberValueDatatype="130" unbalanced="0"/>
    <cacheHierarchy uniqueName="[Data_Base].[Normalisation Total]" caption="Normalisation Total" attribute="1" defaultMemberUniqueName="[Data_Base].[Normalisation Total].[All]" allUniqueName="[Data_Base].[Normalisation Total].[All]" dimensionUniqueName="[Data_Base]" displayFolder="" count="0" memberValueDatatype="20" unbalanced="0"/>
    <cacheHierarchy uniqueName="[Data_Base].[Normalisation exécutée]" caption="Normalisation exécutée" attribute="1" defaultMemberUniqueName="[Data_Base].[Normalisation exécutée].[All]" allUniqueName="[Data_Base].[Normalisation exécutée].[All]" dimensionUniqueName="[Data_Base]" displayFolder="" count="0" memberValueDatatype="20" unbalanced="0"/>
    <cacheHierarchy uniqueName="[Data_Base].[Normalisations en Cours]" caption="Normalisations en Cours" attribute="1" defaultMemberUniqueName="[Data_Base].[Normalisations en Cours].[All]" allUniqueName="[Data_Base].[Normalisations en Cours].[All]" dimensionUniqueName="[Data_Base]" displayFolder="" count="0" memberValueDatatype="20" unbalanced="0"/>
    <cacheHierarchy uniqueName="[Data_Base].[Journée]" caption="Journée" attribute="1" defaultMemberUniqueName="[Data_Base].[Journée].[All]" allUniqueName="[Data_Base].[Journée].[All]" dimensionUniqueName="[Data_Base]" displayFolder="" count="0" memberValueDatatype="130" unbalanced="0"/>
    <cacheHierarchy uniqueName="[Data_Base].[Jours]" caption="Jours" attribute="1" defaultMemberUniqueName="[Data_Base].[Jours].[All]" allUniqueName="[Data_Base].[Jours].[All]" dimensionUniqueName="[Data_Base]" displayFolder="" count="0" memberValueDatatype="130" unbalanced="0"/>
    <cacheHierarchy uniqueName="[Data_Base].[Mois]" caption="Mois" attribute="1" defaultMemberUniqueName="[Data_Base].[Mois].[All]" allUniqueName="[Data_Base].[Mois].[All]" dimensionUniqueName="[Data_Base]" displayFolder="" count="0" memberValueDatatype="130" unbalanced="0"/>
    <cacheHierarchy uniqueName="[Data_Base].[Année]" caption="Année" attribute="1" defaultMemberUniqueName="[Data_Base].[Année].[All]" allUniqueName="[Data_Base].[Année].[All]" dimensionUniqueName="[Data_Base]" displayFolder="" count="0" memberValueDatatype="130" unbalanced="0"/>
    <cacheHierarchy uniqueName="[Data_Base].[DATE RECEPTION (mois)]" caption="DATE RECEPTION (mois)" attribute="1" defaultMemberUniqueName="[Data_Base].[DATE RECEPTION (mois)].[All]" allUniqueName="[Data_Base].[DATE RECEPTION (mois)].[All]" dimensionUniqueName="[Data_Base]" displayFolder="" count="0" memberValueDatatype="20" unbalanced="0"/>
    <cacheHierarchy uniqueName="[Tableau2].[DATE RECEPTION]" caption="DATE RECEPTION" attribute="1" time="1" defaultMemberUniqueName="[Tableau2].[DATE RECEPTION].[All]" allUniqueName="[Tableau2].[DATE RECEPTION].[All]" dimensionUniqueName="[Tableau2]" displayFolder="" count="0" memberValueDatatype="7" unbalanced="0"/>
    <cacheHierarchy uniqueName="[Tableau2].[NOM DU CLIENT]" caption="NOM DU CLIENT" attribute="1" defaultMemberUniqueName="[Tableau2].[NOM DU CLIENT].[All]" allUniqueName="[Tableau2].[NOM DU CLIENT].[All]" dimensionUniqueName="[Tableau2]" displayFolder="" count="0" memberValueDatatype="130" unbalanced="0"/>
    <cacheHierarchy uniqueName="[Tableau2].[AGENCE]" caption="AGENCE" attribute="1" defaultMemberUniqueName="[Tableau2].[AGENCE].[All]" allUniqueName="[Tableau2].[AGENCE].[All]" dimensionUniqueName="[Tableau2]" displayFolder="" count="0" memberValueDatatype="130" unbalanced="0"/>
    <cacheHierarchy uniqueName="[Tableau2].[WR]" caption="WR" attribute="1" defaultMemberUniqueName="[Tableau2].[WR].[All]" allUniqueName="[Tableau2].[WR].[All]" dimensionUniqueName="[Tableau2]" displayFolder="" count="0" memberValueDatatype="130" unbalanced="0"/>
    <cacheHierarchy uniqueName="[Tableau2].[ACTIVITE CLIENT]" caption="ACTIVITE CLIENT" attribute="1" defaultMemberUniqueName="[Tableau2].[ACTIVITE CLIENT].[All]" allUniqueName="[Tableau2].[ACTIVITE CLIENT].[All]" dimensionUniqueName="[Tableau2]" displayFolder="" count="0" memberValueDatatype="130" unbalanced="0"/>
    <cacheHierarchy uniqueName="[Tableau2].[N° TELEPHONE CLIENT]" caption="N° TELEPHONE CLIENT" attribute="1" defaultMemberUniqueName="[Tableau2].[N° TELEPHONE CLIENT].[All]" allUniqueName="[Tableau2].[N° TELEPHONE CLIENT].[All]" dimensionUniqueName="[Tableau2]" displayFolder="" count="0" memberValueDatatype="130" unbalanced="0"/>
    <cacheHierarchy uniqueName="[Tableau2].[DATE PREVUE TRAVAUX]" caption="DATE PREVUE TRAVAUX" attribute="1" time="1" defaultMemberUniqueName="[Tableau2].[DATE PREVUE TRAVAUX].[All]" allUniqueName="[Tableau2].[DATE PREVUE TRAVAUX].[All]" dimensionUniqueName="[Tableau2]" displayFolder="" count="0" memberValueDatatype="7" unbalanced="0"/>
    <cacheHierarchy uniqueName="[Tableau2].[ENTREPRISE]" caption="ENTREPRISE" attribute="1" defaultMemberUniqueName="[Tableau2].[ENTREPRISE].[All]" allUniqueName="[Tableau2].[ENTREPRISE].[All]" dimensionUniqueName="[Tableau2]" displayFolder="" count="0" memberValueDatatype="130" unbalanced="0"/>
    <cacheHierarchy uniqueName="[Tableau2].[CHEF EQUIPE]" caption="CHEF EQUIPE" attribute="1" defaultMemberUniqueName="[Tableau2].[CHEF EQUIPE].[All]" allUniqueName="[Tableau2].[CHEF EQUIPE].[All]" dimensionUniqueName="[Tableau2]" displayFolder="" count="0" memberValueDatatype="130" unbalanced="0"/>
    <cacheHierarchy uniqueName="[Tableau2].[EQUIPE D'INTERVENTIONS]" caption="EQUIPE D'INTERVENTIONS" attribute="1" defaultMemberUniqueName="[Tableau2].[EQUIPE D'INTERVENTIONS].[All]" allUniqueName="[Tableau2].[EQUIPE D'INTERVENTIONS].[All]" dimensionUniqueName="[Tableau2]" displayFolder="" count="0" memberValueDatatype="130" unbalanced="0"/>
    <cacheHierarchy uniqueName="[Tableau2].[SUPERVISEUR ENEO]" caption="SUPERVISEUR ENEO" attribute="1" defaultMemberUniqueName="[Tableau2].[SUPERVISEUR ENEO].[All]" allUniqueName="[Tableau2].[SUPERVISEUR ENEO].[All]" dimensionUniqueName="[Tableau2]" displayFolder="" count="0" memberValueDatatype="130" unbalanced="0"/>
    <cacheHierarchy uniqueName="[Tableau2].[DATE DE SORTIE MATERIEL]" caption="DATE DE SORTIE MATERIEL" attribute="1" time="1" defaultMemberUniqueName="[Tableau2].[DATE DE SORTIE MATERIEL].[All]" allUniqueName="[Tableau2].[DATE DE SORTIE MATERIEL].[All]" dimensionUniqueName="[Tableau2]" displayFolder="" count="0" memberValueDatatype="7" unbalanced="0"/>
    <cacheHierarchy uniqueName="[Tableau2].[MATERIEL MIS A DISPOSITION]" caption="MATERIEL MIS A DISPOSITION" attribute="1" defaultMemberUniqueName="[Tableau2].[MATERIEL MIS A DISPOSITION].[All]" allUniqueName="[Tableau2].[MATERIEL MIS A DISPOSITION].[All]" dimensionUniqueName="[Tableau2]" displayFolder="" count="0" memberValueDatatype="130" unbalanced="0"/>
    <cacheHierarchy uniqueName="[Tableau2].[N° COMPTEUR SORTI]" caption="N° COMPTEUR SORTI" attribute="1" defaultMemberUniqueName="[Tableau2].[N° COMPTEUR SORTI].[All]" allUniqueName="[Tableau2].[N° COMPTEUR SORTI].[All]" dimensionUniqueName="[Tableau2]" displayFolder="" count="0" memberValueDatatype="130" unbalanced="0"/>
    <cacheHierarchy uniqueName="[Tableau2].[DATE DES TRAVAUX]" caption="DATE DES TRAVAUX" attribute="1" time="1" defaultMemberUniqueName="[Tableau2].[DATE DES TRAVAUX].[All]" allUniqueName="[Tableau2].[DATE DES TRAVAUX].[All]" dimensionUniqueName="[Tableau2]" displayFolder="" count="0" memberValueDatatype="7" unbalanced="0"/>
    <cacheHierarchy uniqueName="[Tableau2].[COMPTEUR POSE SUR LE TERRAIN]" caption="COMPTEUR POSE SUR LE TERRAIN" attribute="1" defaultMemberUniqueName="[Tableau2].[COMPTEUR POSE SUR LE TERRAIN].[All]" allUniqueName="[Tableau2].[COMPTEUR POSE SUR LE TERRAIN].[All]" dimensionUniqueName="[Tableau2]" displayFolder="" count="0" memberValueDatatype="130" unbalanced="0"/>
    <cacheHierarchy uniqueName="[Tableau2].[TYPE DE COMPTEUR]" caption="TYPE DE COMPTEUR" attribute="1" defaultMemberUniqueName="[Tableau2].[TYPE DE COMPTEUR].[All]" allUniqueName="[Tableau2].[TYPE DE COMPTEUR].[All]" dimensionUniqueName="[Tableau2]" displayFolder="" count="0" memberValueDatatype="130" unbalanced="0"/>
    <cacheHierarchy uniqueName="[Tableau2].[CALIBRE DISJONCTEUR(A)]" caption="CALIBRE DISJONCTEUR(A)" attribute="1" defaultMemberUniqueName="[Tableau2].[CALIBRE DISJONCTEUR(A)].[All]" allUniqueName="[Tableau2].[CALIBRE DISJONCTEUR(A)].[All]" dimensionUniqueName="[Tableau2]" displayFolder="" count="0" memberValueDatatype="20" unbalanced="0"/>
    <cacheHierarchy uniqueName="[Tableau2].[INDEX DE POSE]" caption="INDEX DE POSE" attribute="1" defaultMemberUniqueName="[Tableau2].[INDEX DE POSE].[All]" allUniqueName="[Tableau2].[INDEX DE POSE].[All]" dimensionUniqueName="[Tableau2]" displayFolder="" count="0" memberValueDatatype="20" unbalanced="0"/>
    <cacheHierarchy uniqueName="[Tableau2].[RESULTAT DES TRAVAUX]" caption="RESULTAT DES TRAVAUX" attribute="1" defaultMemberUniqueName="[Tableau2].[RESULTAT DES TRAVAUX].[All]" allUniqueName="[Tableau2].[RESULTAT DES TRAVAUX].[All]" dimensionUniqueName="[Tableau2]" displayFolder="" count="0" memberValueDatatype="130" unbalanced="0"/>
    <cacheHierarchy uniqueName="[Tableau2].[STATUT CMS]" caption="STATUT CMS" attribute="1" defaultMemberUniqueName="[Tableau2].[STATUT CMS].[All]" allUniqueName="[Tableau2].[STATUT CMS].[All]" dimensionUniqueName="[Tableau2]" displayFolder="" count="0" memberValueDatatype="130" unbalanced="0"/>
    <cacheHierarchy uniqueName="[Tableau2].[OBSERVATIONS]" caption="OBSERVATIONS" attribute="1" defaultMemberUniqueName="[Tableau2].[OBSERVATIONS].[All]" allUniqueName="[Tableau2].[OBSERVATIONS].[All]" dimensionUniqueName="[Tableau2]" displayFolder="" count="0" memberValueDatatype="130" unbalanced="0"/>
    <cacheHierarchy uniqueName="[Tableau2].[RECOMMANDATIONS]" caption="RECOMMANDATIONS" attribute="1" defaultMemberUniqueName="[Tableau2].[RECOMMANDATIONS].[All]" allUniqueName="[Tableau2].[RECOMMANDATIONS].[All]" dimensionUniqueName="[Tableau2]" displayFolder="" count="0" memberValueDatatype="130" unbalanced="0"/>
    <cacheHierarchy uniqueName="[Tableau2].[B.N Total]" caption="B.N Total" attribute="1" defaultMemberUniqueName="[Tableau2].[B.N Total].[All]" allUniqueName="[Tableau2].[B.N Total].[All]" dimensionUniqueName="[Tableau2]" displayFolder="" count="0" memberValueDatatype="20" unbalanced="0"/>
    <cacheHierarchy uniqueName="[Tableau2].[Nbre Brachements exécuté]" caption="Nbre Brachements exécuté" attribute="1" defaultMemberUniqueName="[Tableau2].[Nbre Brachements exécuté].[All]" allUniqueName="[Tableau2].[Nbre Brachements exécuté].[All]" dimensionUniqueName="[Tableau2]" displayFolder="" count="0" memberValueDatatype="20" unbalanced="0"/>
    <cacheHierarchy uniqueName="[Tableau2].[Nbre branchement en Cours]" caption="Nbre branchement en Cours" attribute="1" defaultMemberUniqueName="[Tableau2].[Nbre branchement en Cours].[All]" allUniqueName="[Tableau2].[Nbre branchement en Cours].[All]" dimensionUniqueName="[Tableau2]" displayFolder="" count="0" memberValueDatatype="20" unbalanced="0"/>
    <cacheHierarchy uniqueName="[Tableau2].[Journée]" caption="Journée" attribute="1" defaultMemberUniqueName="[Tableau2].[Journée].[All]" allUniqueName="[Tableau2].[Journée].[All]" dimensionUniqueName="[Tableau2]" displayFolder="" count="0" memberValueDatatype="130" unbalanced="0"/>
    <cacheHierarchy uniqueName="[Tableau2].[Jours]" caption="Jours" attribute="1" defaultMemberUniqueName="[Tableau2].[Jours].[All]" allUniqueName="[Tableau2].[Jours].[All]" dimensionUniqueName="[Tableau2]" displayFolder="" count="0" memberValueDatatype="130" unbalanced="0"/>
    <cacheHierarchy uniqueName="[Tableau2].[Mois]" caption="Mois" attribute="1" defaultMemberUniqueName="[Tableau2].[Mois].[All]" allUniqueName="[Tableau2].[Mois].[All]" dimensionUniqueName="[Tableau2]" displayFolder="" count="0" memberValueDatatype="130" unbalanced="0"/>
    <cacheHierarchy uniqueName="[Tableau2].[Année]" caption="Année" attribute="1" defaultMemberUniqueName="[Tableau2].[Année].[All]" allUniqueName="[Tableau2].[Année].[All]" dimensionUniqueName="[Tableau2]" displayFolder="" count="0" memberValueDatatype="130" unbalanced="0"/>
    <cacheHierarchy uniqueName="[Data_Base].[DATE RECEPTION (index des mois)]" caption="DATE RECEPTION (index des mois)" attribute="1" defaultMemberUniqueName="[Data_Base].[DATE RECEPTION (index des mois)].[All]" allUniqueName="[Data_Base].[DATE RECEPTION (index des mois)].[All]" dimensionUniqueName="[Data_Base]" displayFolder="" count="0" memberValueDatatype="20" unbalanced="0" hidden="1"/>
    <cacheHierarchy uniqueName="[Measures].[__XL_Count Tableau2]" caption="__XL_Count Tableau2" measure="1" displayFolder="" measureGroup="Tableau2" count="0" hidden="1"/>
    <cacheHierarchy uniqueName="[Measures].[__XL_Count Data_Base]" caption="__XL_Count Data_Base" measure="1" displayFolder="" measureGroup="Data_Base" count="0" hidden="1"/>
    <cacheHierarchy uniqueName="[Measures].[__No measures defined]" caption="__No measures defined" measure="1" displayFolder="" count="0" hidden="1"/>
    <cacheHierarchy uniqueName="[Measures].[Nombre de WR]" caption="Nombre de WR" measure="1" displayFolder="" measureGroup="Tableau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COMPTEUR POSE SUR LE TERRAIN]" caption="Nombre de COMPTEUR POSE SUR LE TERRAIN" measure="1" displayFolder="" measureGroup="Tableau2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Nombre de STATUT CMS]" caption="Nombre de STATUT CMS" measure="1" displayFolder="" measureGroup="Tableau2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branchement en Cours]" caption="Somme de Nbre branchement en Cours" measure="1" displayFolder="" measureGroup="Tableau2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Count of DATE EFFECTIVE DES TRAVAUX]" caption="Count of DATE EFFECTIVE DES TRAVAUX" measure="1" displayFolder="" measureGroup="Data_Base" count="0" hidden="1"/>
    <cacheHierarchy uniqueName="[Measures].[Count of INDEX DE DEPOSE]" caption="Count of INDEX DE DEPOSE" measure="1" displayFolder="" measureGroup="Data_Base" count="0" hidden="1"/>
    <cacheHierarchy uniqueName="[Measures].[Sum of Normalisation exécutée]" caption="Sum of Normalisation exécutée" measure="1" displayFolder="" measureGroup="Data_Base" count="0" hidden="1"/>
    <cacheHierarchy uniqueName="[Measures].[Sum of Normalisation Total]" caption="Sum of Normalisation Total" measure="1" displayFolder="" measureGroup="Data_Base" count="0" hidden="1"/>
    <cacheHierarchy uniqueName="[Measures].[Sum of STATUT]" caption="Sum of STATUT" measure="1" displayFolder="" measureGroup="Data_Base" count="0" hidden="1"/>
    <cacheHierarchy uniqueName="[Measures].[Count of CHEF D'EQUIPE]" caption="Count of CHEF D'EQUIPE" measure="1" displayFolder="" measureGroup="Data_Base" count="0" hidden="1"/>
    <cacheHierarchy uniqueName="[Measures].[Count of CONTRAT]" caption="Count of CONTRAT" measure="1" displayFolder="" measureGroup="Data_Base" count="0" hidden="1"/>
  </cacheHierarchies>
  <kpis count="0"/>
  <dimensions count="3">
    <dimension name="Data_Base" uniqueName="[Data_Base]" caption="Data_Base"/>
    <dimension measure="1" name="Measures" uniqueName="[Measures]" caption="Measures"/>
    <dimension name="Tableau2" uniqueName="[Tableau2]" caption="Tableau2"/>
  </dimensions>
  <measureGroups count="2">
    <measureGroup name="Data_Base" caption="Data_Base"/>
    <measureGroup name="Tableau2" caption="Tableau2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ean Rodrigue Awono" refreshedDate="45427.166902083336" createdVersion="6" refreshedVersion="6" minRefreshableVersion="3" recordCount="198" xr:uid="{AD26AB4D-0EB1-45C0-B2BE-EFB76BD31A69}">
  <cacheSource type="worksheet">
    <worksheetSource name="Data_Base_Normalisation"/>
  </cacheSource>
  <cacheFields count="29">
    <cacheField name="DATE D'ENTREE" numFmtId="164">
      <sharedItems containsSemiMixedTypes="0" containsNonDate="0" containsDate="1" containsString="0" minDate="2024-04-02T00:00:00" maxDate="2024-05-11T00:00:00"/>
    </cacheField>
    <cacheField name="NOM DU CLIENT" numFmtId="0">
      <sharedItems containsBlank="1"/>
    </cacheField>
    <cacheField name="AGENCE" numFmtId="0">
      <sharedItems count="6">
        <s v="NEW BELL"/>
        <s v="AKWA"/>
        <s v="KOUMASSI"/>
        <s v="NEW BELL " u="1"/>
        <s v="KOUMASSI " u="1"/>
        <s v="AKWA " u="1"/>
      </sharedItems>
    </cacheField>
    <cacheField name="CONTRAT" numFmtId="0">
      <sharedItems containsBlank="1"/>
    </cacheField>
    <cacheField name="N°COMPTEUR" numFmtId="0">
      <sharedItems containsBlank="1"/>
    </cacheField>
    <cacheField name="TYPE DE COMPTEUR" numFmtId="0">
      <sharedItems containsBlank="1"/>
    </cacheField>
    <cacheField name="ACTIVITE CLIENT" numFmtId="164">
      <sharedItems containsNonDate="0" containsString="0" containsBlank="1"/>
    </cacheField>
    <cacheField name="N° TELEPHONE CLIENT" numFmtId="0">
      <sharedItems containsBlank="1"/>
    </cacheField>
    <cacheField name="ANOMALIE SIGNALEE" numFmtId="0">
      <sharedItems containsBlank="1" count="20">
        <s v="COMPTEUR DEFECTUEUX"/>
        <s v="COMPTEUR BRULE "/>
        <s v="DISTRIBUTEUR NON POSE "/>
        <s v="COMPEUR DEFECTUEUX"/>
        <s v="COMPTEUR BRULE"/>
        <s v="COMPTEUR SUR PLANCHETTE"/>
        <s v="COMPTEUR DEFFECTUEUX"/>
        <s v="REPRISE D ABONNEMENT"/>
        <s v="REPRISE D'ABONNEMNT "/>
        <s v="COMPTEUR VOLE "/>
        <m/>
        <s v="REPRISE D ABONNEMENT "/>
        <s v="COMPTEUR POSE SANS DISTRIBUTEUR "/>
        <s v="COMPTEUR CRAME "/>
        <s v="DISTRIBUTEUR DEFECTUEUX"/>
        <s v="DISRIBUTEUR BRULRE"/>
        <s v="COMPTEUR DEFECTUEUX "/>
        <s v="DISJONCTEUR DEFECTUEUX "/>
        <s v="DEMONTALE POUR LA FRAUDE "/>
        <s v="BORNE NEUTRE BRULE "/>
      </sharedItems>
    </cacheField>
    <cacheField name="ACTION A MENER " numFmtId="0">
      <sharedItems containsBlank="1"/>
    </cacheField>
    <cacheField name="DATE PREVUE TRAVAUX" numFmtId="164">
      <sharedItems containsNonDate="0" containsDate="1" containsString="0" containsBlank="1" minDate="2024-04-03T00:00:00" maxDate="2024-05-09T00:00:00"/>
    </cacheField>
    <cacheField name="ENTREPRISE EN CHARGE " numFmtId="0">
      <sharedItems containsBlank="1" count="21">
        <s v="SATTECH_3"/>
        <s v="EAT_2"/>
        <s v="SATTECH_1"/>
        <s v="EAT_1"/>
        <m/>
        <s v="02"/>
        <s v="03"/>
        <s v="EAT_4"/>
        <s v="SATTECH_2"/>
        <s v="SATTECH_02"/>
        <s v="EAT_"/>
        <s v="EAT_3"/>
        <s v="SATTECH_4"/>
        <s v="SATTECH_01"/>
        <s v="EAT_5"/>
        <s v="EAT_06"/>
        <s v="EAT_01"/>
        <s v="EAT_05"/>
        <s v="AGENCE DE KOUMMASSI"/>
        <s v="01"/>
        <s v="04"/>
      </sharedItems>
    </cacheField>
    <cacheField name="CHEF D'EQUIPE" numFmtId="0">
      <sharedItems containsBlank="1"/>
    </cacheField>
    <cacheField name="DATE EFFECTIVE DES TRAVAUX " numFmtId="164">
      <sharedItems containsDate="1" containsBlank="1" containsMixedTypes="1" minDate="2024-04-02T00:00:00" maxDate="2024-05-09T00:00:00"/>
    </cacheField>
    <cacheField name="EQUIPE D'INTERVENTIONS" numFmtId="0">
      <sharedItems containsBlank="1"/>
    </cacheField>
    <cacheField name="N°COMPTEUR POSE SUR LE TERRAIN" numFmtId="0">
      <sharedItems containsBlank="1"/>
    </cacheField>
    <cacheField name="INDEX DE DEPOSE" numFmtId="0">
      <sharedItems containsBlank="1" containsMixedTypes="1" containsNumber="1" containsInteger="1" minValue="0" maxValue="739126"/>
    </cacheField>
    <cacheField name="INDEX DE POSE" numFmtId="0">
      <sharedItems containsBlank="1" containsMixedTypes="1" containsNumber="1" containsInteger="1" minValue="0" maxValue="16650"/>
    </cacheField>
    <cacheField name="DISJONCTEUR POSE SUR LE TERRAIN" numFmtId="0">
      <sharedItems containsString="0" containsBlank="1" containsNumber="1" containsInteger="1" minValue="0" maxValue="60"/>
    </cacheField>
    <cacheField name="DATE PRISE EN CHARGE CMS" numFmtId="165">
      <sharedItems containsNonDate="0" containsDate="1" containsString="0" containsBlank="1" minDate="2024-04-11T00:00:00" maxDate="2024-04-16T00:00:00"/>
    </cacheField>
    <cacheField name="PRISE EN CHARGE DANS CMS" numFmtId="0">
      <sharedItems containsString="0" containsBlank="1" containsNumber="1" containsInteger="1" minValue="1" maxValue="1"/>
    </cacheField>
    <cacheField name="RECOMMANDATIONS" numFmtId="0">
      <sharedItems containsBlank="1"/>
    </cacheField>
    <cacheField name="Normalisation Total" numFmtId="0">
      <sharedItems containsSemiMixedTypes="0" containsString="0" containsNumber="1" containsInteger="1" minValue="0" maxValue="1"/>
    </cacheField>
    <cacheField name="Normalisation exécutée" numFmtId="0">
      <sharedItems containsSemiMixedTypes="0" containsString="0" containsNumber="1" containsInteger="1" minValue="0" maxValue="1"/>
    </cacheField>
    <cacheField name="Normalisations en Cours" numFmtId="0">
      <sharedItems containsSemiMixedTypes="0" containsString="0" containsNumber="1" containsInteger="1" minValue="0" maxValue="1"/>
    </cacheField>
    <cacheField name="Journée" numFmtId="0">
      <sharedItems count="8">
        <s v="mardi"/>
        <s v="lundi"/>
        <s v="mercredi"/>
        <s v="jeudi"/>
        <s v="vendredi"/>
        <s v="samedi"/>
        <s v="dimanche"/>
        <s v=" " u="1"/>
      </sharedItems>
    </cacheField>
    <cacheField name="Jours" numFmtId="0">
      <sharedItems count="19">
        <s v="02"/>
        <s v="08"/>
        <s v="10"/>
        <s v="11"/>
        <s v="12"/>
        <s v="15"/>
        <s v="16"/>
        <s v="17"/>
        <s v="19"/>
        <s v="22"/>
        <s v="23"/>
        <s v="24"/>
        <s v="25"/>
        <s v="26"/>
        <s v="27"/>
        <s v="28"/>
        <s v="30"/>
        <s v="06"/>
        <s v="07"/>
      </sharedItems>
    </cacheField>
    <cacheField name="Mois" numFmtId="0">
      <sharedItems count="2">
        <s v="04"/>
        <s v="05"/>
      </sharedItems>
    </cacheField>
    <cacheField name="Année" numFmtId="0">
      <sharedItems count="9">
        <s v="2024"/>
        <s v="2028" u="1"/>
        <s v="2027" u="1"/>
        <s v="2026" u="1"/>
        <s v="2025" u="1"/>
        <s v=" " u="1"/>
        <s v="2031" u="1"/>
        <s v="2030" u="1"/>
        <s v="2029" u="1"/>
      </sharedItems>
    </cacheField>
  </cacheFields>
  <extLst>
    <ext xmlns:x14="http://schemas.microsoft.com/office/spreadsheetml/2009/9/main" uri="{725AE2AE-9491-48be-B2B4-4EB974FC3084}">
      <x14:pivotCacheDefinition pivotCacheId="72454969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">
  <r>
    <d v="2024-04-02T00:00:00"/>
    <s v="AFRIEXCHANGE SA "/>
    <x v="0"/>
    <s v="201738372"/>
    <s v="02630076773795"/>
    <s v="POSTPAID"/>
    <m/>
    <s v="670001910"/>
    <x v="0"/>
    <s v="REMPLACEMENT"/>
    <d v="2024-04-17T00:00:00"/>
    <x v="0"/>
    <s v="ZE BIDJA"/>
    <d v="2024-04-02T00:00:00"/>
    <s v="ZE/HENDA"/>
    <s v="23018928"/>
    <m/>
    <m/>
    <m/>
    <m/>
    <n v="1"/>
    <s v="FAIT"/>
    <n v="1"/>
    <n v="1"/>
    <n v="0"/>
    <x v="0"/>
    <x v="0"/>
    <x v="0"/>
    <x v="0"/>
  </r>
  <r>
    <d v="2024-04-02T00:00:00"/>
    <s v="WAMBO ALAIN"/>
    <x v="0"/>
    <s v="203443113"/>
    <s v="37237019122"/>
    <s v="PREPAID "/>
    <m/>
    <s v="693728339"/>
    <x v="0"/>
    <s v="REMPLACEMENT "/>
    <d v="2024-04-17T00:00:00"/>
    <x v="1"/>
    <s v="YOUMCHAKOU"/>
    <d v="2024-04-02T00:00:00"/>
    <s v="YOUMCHAKOU"/>
    <s v="021350709774"/>
    <n v="0"/>
    <n v="3453"/>
    <m/>
    <m/>
    <n v="1"/>
    <s v="FAIT "/>
    <n v="1"/>
    <n v="1"/>
    <n v="0"/>
    <x v="0"/>
    <x v="0"/>
    <x v="0"/>
    <x v="0"/>
  </r>
  <r>
    <d v="2024-04-08T00:00:00"/>
    <s v="HAMDY PUB CMR"/>
    <x v="1"/>
    <s v="203915887"/>
    <s v="37240069494"/>
    <s v="PREPAID"/>
    <m/>
    <s v="6719568030"/>
    <x v="0"/>
    <s v="REMPLACEMENT"/>
    <d v="2024-04-17T00:00:00"/>
    <x v="2"/>
    <s v="SAMAGA"/>
    <d v="2024-04-08T00:00:00"/>
    <s v="SAMAGA/YANGO"/>
    <s v="20391587"/>
    <m/>
    <m/>
    <m/>
    <m/>
    <n v="1"/>
    <s v="FAIT"/>
    <n v="1"/>
    <n v="1"/>
    <n v="0"/>
    <x v="1"/>
    <x v="1"/>
    <x v="0"/>
    <x v="0"/>
  </r>
  <r>
    <d v="2024-04-08T00:00:00"/>
    <s v="MARIE NGAMSI M"/>
    <x v="0"/>
    <s v="203547043"/>
    <s v="014425894319"/>
    <s v="PREPAID "/>
    <m/>
    <s v="696037537"/>
    <x v="0"/>
    <s v="REMPLACEMENT"/>
    <d v="2024-04-17T00:00:00"/>
    <x v="2"/>
    <s v="SAMAGA"/>
    <d v="2024-04-08T00:00:00"/>
    <s v="SAMAGA/YANGO"/>
    <s v="23019135"/>
    <m/>
    <m/>
    <m/>
    <m/>
    <n v="1"/>
    <s v="FAIT"/>
    <n v="1"/>
    <n v="1"/>
    <n v="0"/>
    <x v="1"/>
    <x v="1"/>
    <x v="0"/>
    <x v="0"/>
  </r>
  <r>
    <d v="2024-04-08T00:00:00"/>
    <s v="NDOME KOUELLE BERTHE "/>
    <x v="2"/>
    <s v="200066581"/>
    <s v="37237152667"/>
    <s v="POSTPAID "/>
    <m/>
    <s v="699935463"/>
    <x v="0"/>
    <s v="REMPLACEMENT"/>
    <d v="2024-04-15T00:00:00"/>
    <x v="3"/>
    <s v="EWANE"/>
    <d v="2024-04-08T00:00:00"/>
    <s v="EWANE /EDIMO"/>
    <s v="2218120317"/>
    <m/>
    <m/>
    <m/>
    <m/>
    <n v="1"/>
    <s v="FAIT"/>
    <n v="1"/>
    <n v="1"/>
    <n v="0"/>
    <x v="1"/>
    <x v="1"/>
    <x v="0"/>
    <x v="0"/>
  </r>
  <r>
    <d v="2024-04-08T00:00:00"/>
    <s v="MISSION PROSTESTANT "/>
    <x v="1"/>
    <s v="200073613"/>
    <s v="37240064743"/>
    <s v="POSTPAID "/>
    <m/>
    <s v="699586236"/>
    <x v="0"/>
    <s v="REMPLACEMENT"/>
    <d v="2024-04-15T00:00:00"/>
    <x v="3"/>
    <s v="EWANE"/>
    <d v="2024-04-08T00:00:00"/>
    <s v="EWANE /EDIMO"/>
    <s v="1040719000308"/>
    <m/>
    <m/>
    <m/>
    <m/>
    <n v="1"/>
    <s v="FAIT"/>
    <n v="1"/>
    <n v="1"/>
    <n v="0"/>
    <x v="1"/>
    <x v="1"/>
    <x v="0"/>
    <x v="0"/>
  </r>
  <r>
    <d v="2024-04-10T00:00:00"/>
    <s v="DJONG ERNESTINE "/>
    <x v="0"/>
    <s v="200193424"/>
    <s v="37230190178"/>
    <s v="POSTPAID "/>
    <m/>
    <s v="699380664"/>
    <x v="1"/>
    <s v="REMPLACEMENT "/>
    <d v="2024-04-12T00:00:00"/>
    <x v="4"/>
    <m/>
    <m/>
    <m/>
    <m/>
    <m/>
    <m/>
    <m/>
    <m/>
    <m/>
    <m/>
    <n v="1"/>
    <n v="0"/>
    <n v="1"/>
    <x v="2"/>
    <x v="2"/>
    <x v="0"/>
    <x v="0"/>
  </r>
  <r>
    <d v="2024-04-10T00:00:00"/>
    <s v="JACQUES NGAPLAN HAMAN"/>
    <x v="0"/>
    <s v="204463975"/>
    <s v="37245858511"/>
    <s v="PREPAID "/>
    <m/>
    <s v="692725250"/>
    <x v="2"/>
    <s v="POSE DISTRIBUTEUR "/>
    <d v="2024-04-12T00:00:00"/>
    <x v="5"/>
    <s v="SIELATCHOM"/>
    <m/>
    <s v="SIELATCHOM/WEMENI"/>
    <m/>
    <m/>
    <m/>
    <m/>
    <m/>
    <m/>
    <m/>
    <n v="1"/>
    <n v="0"/>
    <n v="1"/>
    <x v="2"/>
    <x v="2"/>
    <x v="0"/>
    <x v="0"/>
  </r>
  <r>
    <d v="2024-04-10T00:00:00"/>
    <s v="NDUBUISI NWAFOR"/>
    <x v="0"/>
    <s v="204491503"/>
    <s v="2220054782"/>
    <s v="PREPAID "/>
    <m/>
    <s v="679796216"/>
    <x v="2"/>
    <s v="POSE DISTRIBUTEUR "/>
    <d v="2024-04-12T00:00:00"/>
    <x v="6"/>
    <s v="YAMGA "/>
    <m/>
    <s v="YAMGA/PETGA "/>
    <m/>
    <m/>
    <m/>
    <m/>
    <m/>
    <m/>
    <m/>
    <n v="1"/>
    <n v="0"/>
    <n v="1"/>
    <x v="2"/>
    <x v="2"/>
    <x v="0"/>
    <x v="0"/>
  </r>
  <r>
    <d v="2024-04-11T00:00:00"/>
    <s v="ABBEY MATE"/>
    <x v="1"/>
    <s v="203921302"/>
    <s v="20757401"/>
    <s v="PREPAID"/>
    <m/>
    <s v="699955317"/>
    <x v="0"/>
    <s v="REMPLACEMENT"/>
    <d v="2024-04-29T00:00:00"/>
    <x v="7"/>
    <s v="MFOAPON"/>
    <d v="2024-04-11T00:00:00"/>
    <s v="MFOUAPON/MOUSSSA"/>
    <s v="23026055"/>
    <m/>
    <m/>
    <m/>
    <m/>
    <n v="1"/>
    <s v="FAIT"/>
    <n v="1"/>
    <n v="1"/>
    <n v="0"/>
    <x v="3"/>
    <x v="3"/>
    <x v="0"/>
    <x v="0"/>
  </r>
  <r>
    <d v="2024-04-11T00:00:00"/>
    <s v="WATAT NKWENDOU JEAN"/>
    <x v="1"/>
    <s v="204114884"/>
    <s v="37240427485"/>
    <s v="PREPAID"/>
    <m/>
    <s v="699764377"/>
    <x v="0"/>
    <s v="REMPLACEMENT"/>
    <d v="2024-04-12T00:00:00"/>
    <x v="7"/>
    <s v="MFOAPON"/>
    <d v="2024-04-11T00:00:00"/>
    <s v="MFOUAPON/MOUSSSA"/>
    <s v="23026060"/>
    <m/>
    <m/>
    <m/>
    <m/>
    <n v="1"/>
    <s v="FAIT"/>
    <n v="1"/>
    <n v="1"/>
    <n v="0"/>
    <x v="3"/>
    <x v="3"/>
    <x v="0"/>
    <x v="0"/>
  </r>
  <r>
    <d v="2024-04-11T00:00:00"/>
    <s v="HAMZA IBRAHIMA"/>
    <x v="1"/>
    <s v="200077625"/>
    <s v="021550135570"/>
    <s v="PREPAID"/>
    <m/>
    <s v="671256166"/>
    <x v="0"/>
    <s v="REMPLACEMENT"/>
    <d v="2024-04-13T00:00:00"/>
    <x v="7"/>
    <s v="MFOAPON"/>
    <d v="2024-04-11T00:00:00"/>
    <s v="MFOUAPON/MOUSSSA"/>
    <s v="23026056"/>
    <m/>
    <m/>
    <m/>
    <m/>
    <n v="1"/>
    <s v="FAIT"/>
    <n v="1"/>
    <n v="1"/>
    <n v="0"/>
    <x v="3"/>
    <x v="3"/>
    <x v="0"/>
    <x v="0"/>
  </r>
  <r>
    <d v="2024-04-11T00:00:00"/>
    <s v="HEUDOU MINGUE "/>
    <x v="1"/>
    <s v="203370679"/>
    <s v="22200039735"/>
    <s v="PREPAID"/>
    <m/>
    <s v="674625381"/>
    <x v="0"/>
    <s v="REMPLACEMENT"/>
    <d v="2024-04-15T00:00:00"/>
    <x v="3"/>
    <s v="EWANE"/>
    <d v="2024-04-11T00:00:00"/>
    <s v="EWANE /EDIMO"/>
    <s v="021550124676"/>
    <m/>
    <m/>
    <m/>
    <m/>
    <n v="1"/>
    <s v="FAIT"/>
    <n v="1"/>
    <n v="1"/>
    <n v="0"/>
    <x v="3"/>
    <x v="3"/>
    <x v="0"/>
    <x v="0"/>
  </r>
  <r>
    <d v="2024-04-11T00:00:00"/>
    <s v="KUEDOUNG SOMO"/>
    <x v="1"/>
    <s v="204092140"/>
    <s v="37237024973"/>
    <s v="PREPAID"/>
    <m/>
    <s v="655607697"/>
    <x v="0"/>
    <s v="REMPLACEMENT"/>
    <d v="2024-04-13T00:00:00"/>
    <x v="0"/>
    <s v="ZE BIDJA"/>
    <d v="2024-04-11T00:00:00"/>
    <s v="ZE/HENDA"/>
    <s v="22999452"/>
    <m/>
    <m/>
    <m/>
    <m/>
    <n v="1"/>
    <s v="FAIT"/>
    <n v="1"/>
    <n v="1"/>
    <n v="0"/>
    <x v="3"/>
    <x v="3"/>
    <x v="0"/>
    <x v="0"/>
  </r>
  <r>
    <d v="2024-04-11T00:00:00"/>
    <s v="KENFACK EPSE TSA"/>
    <x v="1"/>
    <s v="204153763"/>
    <s v="REPRISE "/>
    <s v="PREPAID"/>
    <m/>
    <m/>
    <x v="0"/>
    <s v="REMPLACEMENT"/>
    <d v="2024-04-15T00:00:00"/>
    <x v="8"/>
    <s v="DOUFANG"/>
    <d v="2024-04-11T00:00:00"/>
    <s v="DOUFANG/KOM"/>
    <s v="23026066"/>
    <m/>
    <m/>
    <m/>
    <m/>
    <n v="1"/>
    <s v="FAIT"/>
    <n v="1"/>
    <n v="1"/>
    <n v="0"/>
    <x v="3"/>
    <x v="3"/>
    <x v="0"/>
    <x v="0"/>
  </r>
  <r>
    <d v="2024-04-11T00:00:00"/>
    <s v="KAMENI NOUNGOUE"/>
    <x v="1"/>
    <s v="204442346"/>
    <s v="37246149928"/>
    <s v="POSPAID"/>
    <m/>
    <s v="698528489"/>
    <x v="0"/>
    <s v="REMPLACEMENT"/>
    <d v="2024-04-15T00:00:00"/>
    <x v="8"/>
    <s v="DOUFANG"/>
    <d v="2024-04-11T00:00:00"/>
    <s v="DOUFANG/KOM"/>
    <s v="23026062"/>
    <m/>
    <m/>
    <m/>
    <m/>
    <n v="1"/>
    <s v="FAIT"/>
    <n v="1"/>
    <n v="1"/>
    <n v="0"/>
    <x v="3"/>
    <x v="3"/>
    <x v="0"/>
    <x v="0"/>
  </r>
  <r>
    <d v="2024-04-11T00:00:00"/>
    <s v="MONIQUE BIENVENU"/>
    <x v="1"/>
    <s v="203940013"/>
    <s v="37237018728"/>
    <s v="PREPAID "/>
    <m/>
    <s v="693374538"/>
    <x v="0"/>
    <s v="REMPLACEMENT"/>
    <d v="2024-04-12T00:00:00"/>
    <x v="0"/>
    <s v="ZE BIDJA"/>
    <d v="2024-04-11T00:00:00"/>
    <s v="ZE/HENDA"/>
    <s v="23026061"/>
    <m/>
    <m/>
    <m/>
    <m/>
    <n v="1"/>
    <s v="FAIT"/>
    <n v="1"/>
    <n v="1"/>
    <n v="0"/>
    <x v="3"/>
    <x v="3"/>
    <x v="0"/>
    <x v="0"/>
  </r>
  <r>
    <d v="2024-04-11T00:00:00"/>
    <s v="EMILIE WONJE "/>
    <x v="1"/>
    <s v="200197303"/>
    <s v="014400649951"/>
    <s v="PREPAID"/>
    <m/>
    <s v="676785514"/>
    <x v="0"/>
    <s v="REMPLACEMENT"/>
    <d v="2024-04-12T00:00:00"/>
    <x v="8"/>
    <s v="DOUFANG"/>
    <d v="2024-04-11T00:00:00"/>
    <s v="DOUFANG/KOM"/>
    <s v="23023063"/>
    <m/>
    <m/>
    <m/>
    <m/>
    <n v="1"/>
    <s v="FAIT"/>
    <n v="1"/>
    <n v="1"/>
    <n v="0"/>
    <x v="3"/>
    <x v="3"/>
    <x v="0"/>
    <x v="0"/>
  </r>
  <r>
    <d v="2024-04-11T00:00:00"/>
    <s v="KWEDI MARIE "/>
    <x v="1"/>
    <s v="203272300"/>
    <s v="014400680527"/>
    <s v="PREPAID"/>
    <m/>
    <m/>
    <x v="0"/>
    <s v="REMPLACEMENT"/>
    <d v="2024-04-12T00:00:00"/>
    <x v="0"/>
    <s v="ZE BIDJA"/>
    <d v="2024-04-11T00:00:00"/>
    <s v="ZE/HENDA"/>
    <s v="22999461"/>
    <m/>
    <m/>
    <m/>
    <m/>
    <n v="1"/>
    <s v="FAIT"/>
    <n v="1"/>
    <n v="1"/>
    <n v="0"/>
    <x v="3"/>
    <x v="3"/>
    <x v="0"/>
    <x v="0"/>
  </r>
  <r>
    <d v="2024-04-12T00:00:00"/>
    <s v="TCHANA NGASSA"/>
    <x v="2"/>
    <s v="204062563"/>
    <s v="37237007408"/>
    <s v="PREPAID "/>
    <m/>
    <s v="696117255"/>
    <x v="1"/>
    <s v="REMPLACEMENT "/>
    <d v="2024-05-07T00:00:00"/>
    <x v="4"/>
    <s v="NZEMO"/>
    <d v="2024-04-12T00:00:00"/>
    <s v="NZEMO/FANUI"/>
    <s v="22999453"/>
    <n v="6415"/>
    <n v="0"/>
    <m/>
    <d v="2024-04-12T00:00:00"/>
    <n v="1"/>
    <s v="FAIT"/>
    <n v="1"/>
    <n v="1"/>
    <n v="0"/>
    <x v="4"/>
    <x v="4"/>
    <x v="0"/>
    <x v="0"/>
  </r>
  <r>
    <d v="2024-04-12T00:00:00"/>
    <s v="KINGUE MARGUERITE "/>
    <x v="2"/>
    <s v="203807606"/>
    <s v="37297131950"/>
    <s v="PREPAID "/>
    <m/>
    <s v="693155823"/>
    <x v="3"/>
    <s v="REMPLACEMENT "/>
    <d v="2024-04-12T00:00:00"/>
    <x v="4"/>
    <s v="ESSAPA "/>
    <d v="2024-04-12T00:00:00"/>
    <s v="ESSAPA MAYELE "/>
    <s v="23019057"/>
    <n v="0"/>
    <n v="0"/>
    <m/>
    <d v="2024-04-11T00:00:00"/>
    <n v="1"/>
    <s v="FAIT "/>
    <n v="1"/>
    <n v="1"/>
    <n v="0"/>
    <x v="4"/>
    <x v="4"/>
    <x v="0"/>
    <x v="0"/>
  </r>
  <r>
    <d v="2024-04-12T00:00:00"/>
    <s v="DONPE MEKONTTCHOU "/>
    <x v="1"/>
    <s v="203842751"/>
    <s v="37237147543"/>
    <s v="PREPAID "/>
    <m/>
    <s v="655142942"/>
    <x v="3"/>
    <s v="REMPLACEMENT "/>
    <d v="2024-05-07T00:00:00"/>
    <x v="4"/>
    <s v="FONGANG "/>
    <d v="2024-04-12T00:00:00"/>
    <s v="FONGANG/MAKUATE "/>
    <s v="23018831"/>
    <n v="0"/>
    <n v="0"/>
    <m/>
    <d v="2024-04-12T00:00:00"/>
    <n v="1"/>
    <s v="FAIT "/>
    <n v="1"/>
    <n v="1"/>
    <n v="0"/>
    <x v="4"/>
    <x v="4"/>
    <x v="0"/>
    <x v="0"/>
  </r>
  <r>
    <d v="2024-04-12T00:00:00"/>
    <s v="AMINATOU MOHAMADOU"/>
    <x v="0"/>
    <s v="203546638"/>
    <s v="021850184385"/>
    <s v="POSTPAID "/>
    <m/>
    <m/>
    <x v="3"/>
    <s v="REMPLACEMENT "/>
    <d v="2024-05-07T00:00:00"/>
    <x v="4"/>
    <s v="YANGA "/>
    <d v="2024-04-12T00:00:00"/>
    <s v="YANGA /PETGA "/>
    <s v="23018833"/>
    <s v="ETEINT"/>
    <n v="0"/>
    <m/>
    <d v="2024-04-12T00:00:00"/>
    <n v="1"/>
    <s v="FAIT"/>
    <n v="1"/>
    <n v="1"/>
    <n v="0"/>
    <x v="4"/>
    <x v="4"/>
    <x v="0"/>
    <x v="0"/>
  </r>
  <r>
    <d v="2024-04-12T00:00:00"/>
    <s v="SANDRINE FOYOU"/>
    <x v="0"/>
    <s v="203958794"/>
    <s v="1402449383"/>
    <s v="PREPAID "/>
    <m/>
    <s v="675645674"/>
    <x v="3"/>
    <s v="REMPLACEMENT "/>
    <d v="2024-04-12T00:00:00"/>
    <x v="4"/>
    <s v="ESSAPA "/>
    <d v="2024-04-12T00:00:00"/>
    <s v="ESSAPA MAYELE "/>
    <s v="23019055"/>
    <s v="BRULE "/>
    <n v="0"/>
    <m/>
    <d v="2024-04-13T00:00:00"/>
    <n v="1"/>
    <s v="FAIT "/>
    <n v="1"/>
    <n v="1"/>
    <n v="0"/>
    <x v="4"/>
    <x v="4"/>
    <x v="0"/>
    <x v="0"/>
  </r>
  <r>
    <d v="2024-04-12T00:00:00"/>
    <s v="YVES NANTCHOUAN "/>
    <x v="0"/>
    <s v="203841807"/>
    <s v="01402449383"/>
    <s v="PEREPAID "/>
    <m/>
    <s v="697357945"/>
    <x v="3"/>
    <s v="REMPLACEMENT "/>
    <d v="2024-04-12T00:00:00"/>
    <x v="4"/>
    <s v="YANGA "/>
    <d v="2024-04-12T00:00:00"/>
    <s v="YANGA /PETGA "/>
    <s v="23018833"/>
    <n v="60"/>
    <m/>
    <m/>
    <d v="2024-04-12T00:00:00"/>
    <n v="1"/>
    <s v="FAIT "/>
    <n v="1"/>
    <n v="1"/>
    <n v="0"/>
    <x v="4"/>
    <x v="4"/>
    <x v="0"/>
    <x v="0"/>
  </r>
  <r>
    <d v="2024-04-12T00:00:00"/>
    <s v="JOHN IKEKE "/>
    <x v="0"/>
    <s v="200195417"/>
    <s v="2218053722"/>
    <s v="PREPAID "/>
    <m/>
    <m/>
    <x v="3"/>
    <s v="REMPLACEMENT "/>
    <d v="2024-04-12T00:00:00"/>
    <x v="4"/>
    <s v="YANGA "/>
    <d v="2024-04-12T00:00:00"/>
    <s v="YANGA /PETGA "/>
    <s v="23018833"/>
    <n v="5"/>
    <n v="0"/>
    <m/>
    <d v="2024-04-13T00:00:00"/>
    <n v="1"/>
    <s v="FAIT "/>
    <n v="1"/>
    <n v="1"/>
    <n v="0"/>
    <x v="4"/>
    <x v="4"/>
    <x v="0"/>
    <x v="0"/>
  </r>
  <r>
    <d v="2024-04-12T00:00:00"/>
    <s v="JOSEPH DIKOTI"/>
    <x v="0"/>
    <s v="203918845"/>
    <s v="014412795420"/>
    <s v="PREPAID "/>
    <m/>
    <m/>
    <x v="0"/>
    <s v="REMPLACEMENT "/>
    <d v="2024-04-12T00:00:00"/>
    <x v="4"/>
    <s v="YANGA "/>
    <d v="2024-04-12T00:00:00"/>
    <s v="YANGA /PETGA "/>
    <s v="23018834"/>
    <n v="0"/>
    <n v="0"/>
    <m/>
    <d v="2024-04-12T00:00:00"/>
    <n v="1"/>
    <s v="FAIT "/>
    <n v="1"/>
    <n v="1"/>
    <n v="0"/>
    <x v="4"/>
    <x v="4"/>
    <x v="0"/>
    <x v="0"/>
  </r>
  <r>
    <d v="2024-04-12T00:00:00"/>
    <s v="CHINMOUN ISSSOFA "/>
    <x v="1"/>
    <s v="203960706"/>
    <s v="37237052537"/>
    <s v="PREPAID "/>
    <m/>
    <s v="677973458"/>
    <x v="0"/>
    <s v="REMPLACEMENT "/>
    <d v="2024-04-16T00:00:00"/>
    <x v="9"/>
    <s v="KOM"/>
    <d v="2024-04-12T00:00:00"/>
    <s v="KOM/DOUFANG "/>
    <s v="23026574"/>
    <n v="0"/>
    <n v="0"/>
    <m/>
    <d v="2024-04-13T00:00:00"/>
    <n v="1"/>
    <s v="FAIT "/>
    <n v="1"/>
    <n v="1"/>
    <n v="0"/>
    <x v="4"/>
    <x v="4"/>
    <x v="0"/>
    <x v="0"/>
  </r>
  <r>
    <d v="2024-04-12T00:00:00"/>
    <s v="NDAM AMZA "/>
    <x v="2"/>
    <s v="203914545"/>
    <s v="23002491"/>
    <s v="PREPAID "/>
    <m/>
    <s v="658045659"/>
    <x v="0"/>
    <s v="REMPLACEMENT "/>
    <d v="2024-04-15T00:00:00"/>
    <x v="4"/>
    <s v="TUBUO"/>
    <d v="2024-04-12T00:00:00"/>
    <s v="TUBUO"/>
    <s v="23019051"/>
    <n v="0"/>
    <n v="0"/>
    <m/>
    <d v="2024-04-12T00:00:00"/>
    <n v="1"/>
    <s v="FAIT "/>
    <n v="1"/>
    <n v="1"/>
    <n v="0"/>
    <x v="4"/>
    <x v="4"/>
    <x v="0"/>
    <x v="0"/>
  </r>
  <r>
    <d v="2024-04-15T00:00:00"/>
    <s v="NJIAKA ADAMOU"/>
    <x v="2"/>
    <s v="203908516"/>
    <s v="1503009082"/>
    <s v="PREPAID"/>
    <m/>
    <s v="697843436"/>
    <x v="0"/>
    <s v="REMPLACEMENT"/>
    <d v="2024-04-16T00:00:00"/>
    <x v="4"/>
    <s v="EVEHE "/>
    <d v="2024-04-15T00:00:00"/>
    <s v="EVEHE "/>
    <s v="23019308"/>
    <m/>
    <m/>
    <m/>
    <m/>
    <n v="1"/>
    <s v="FAIT"/>
    <n v="1"/>
    <n v="1"/>
    <n v="0"/>
    <x v="1"/>
    <x v="5"/>
    <x v="0"/>
    <x v="0"/>
  </r>
  <r>
    <d v="2024-04-15T00:00:00"/>
    <s v="ASSANJI SIRRI"/>
    <x v="2"/>
    <s v="203931030"/>
    <s v="37247363734"/>
    <s v="PREPAID"/>
    <m/>
    <s v="671886547"/>
    <x v="0"/>
    <s v="REMPLACEMENT"/>
    <d v="2024-04-16T00:00:00"/>
    <x v="4"/>
    <m/>
    <d v="2024-04-15T00:00:00"/>
    <s v="ESSAPA "/>
    <s v="23018841"/>
    <n v="0"/>
    <n v="0"/>
    <m/>
    <m/>
    <n v="1"/>
    <s v="FAIT"/>
    <n v="1"/>
    <n v="1"/>
    <n v="0"/>
    <x v="1"/>
    <x v="5"/>
    <x v="0"/>
    <x v="0"/>
  </r>
  <r>
    <d v="2024-04-15T00:00:00"/>
    <s v="BAH ADRIENNE"/>
    <x v="2"/>
    <s v="203961386"/>
    <s v="37237186871"/>
    <s v="PREPAID"/>
    <m/>
    <s v="690679343"/>
    <x v="0"/>
    <s v="REMPLACEMENT"/>
    <d v="2024-04-13T00:00:00"/>
    <x v="4"/>
    <m/>
    <d v="2024-04-15T00:00:00"/>
    <s v="TUBUA "/>
    <s v="23026064"/>
    <n v="0"/>
    <s v="PREPAID"/>
    <m/>
    <m/>
    <n v="1"/>
    <s v="FAIT"/>
    <n v="1"/>
    <n v="1"/>
    <n v="0"/>
    <x v="1"/>
    <x v="5"/>
    <x v="0"/>
    <x v="0"/>
  </r>
  <r>
    <d v="2024-04-15T00:00:00"/>
    <s v=" CHOUPE KOM"/>
    <x v="2"/>
    <s v="204356810"/>
    <s v="37240064743"/>
    <s v="PREPAID"/>
    <m/>
    <m/>
    <x v="0"/>
    <s v="REMPLACEMENT"/>
    <d v="2024-04-13T00:00:00"/>
    <x v="10"/>
    <s v="YOUMCHAKOU"/>
    <d v="2024-04-24T00:00:00"/>
    <s v="YOUMCHAKOU/ADJIM"/>
    <s v="0263008470423"/>
    <n v="0"/>
    <n v="10"/>
    <n v="30"/>
    <m/>
    <n v="1"/>
    <s v="FAIT "/>
    <n v="1"/>
    <n v="1"/>
    <n v="0"/>
    <x v="1"/>
    <x v="5"/>
    <x v="0"/>
    <x v="0"/>
  </r>
  <r>
    <d v="2024-04-15T00:00:00"/>
    <s v="MBAH MBAFU"/>
    <x v="2"/>
    <s v="204199334"/>
    <s v="37237135779"/>
    <s v="PREPAID"/>
    <m/>
    <m/>
    <x v="0"/>
    <s v="REMPLACEMENT"/>
    <d v="2024-04-13T00:00:00"/>
    <x v="4"/>
    <m/>
    <m/>
    <m/>
    <m/>
    <m/>
    <m/>
    <m/>
    <m/>
    <m/>
    <m/>
    <n v="1"/>
    <n v="0"/>
    <n v="1"/>
    <x v="1"/>
    <x v="5"/>
    <x v="0"/>
    <x v="0"/>
  </r>
  <r>
    <d v="2024-04-15T00:00:00"/>
    <s v="NANA MARCO"/>
    <x v="2"/>
    <s v="203399518"/>
    <s v="017900768277"/>
    <s v="PREPAID"/>
    <m/>
    <s v="699390337"/>
    <x v="0"/>
    <s v="REMPLACEMENT"/>
    <d v="2024-04-17T00:00:00"/>
    <x v="4"/>
    <s v="ESSAPA"/>
    <d v="2024-04-15T00:00:00"/>
    <s v="ESSAPE"/>
    <s v="23018839"/>
    <s v="PREPAID "/>
    <n v="0"/>
    <m/>
    <m/>
    <n v="1"/>
    <s v="FAIT"/>
    <n v="1"/>
    <n v="1"/>
    <n v="0"/>
    <x v="1"/>
    <x v="5"/>
    <x v="0"/>
    <x v="0"/>
  </r>
  <r>
    <d v="2024-04-15T00:00:00"/>
    <s v="MOUNDI ELIMBI "/>
    <x v="2"/>
    <s v="203906459"/>
    <s v="014392586427"/>
    <s v="PREPAID"/>
    <m/>
    <s v="697254505"/>
    <x v="0"/>
    <s v="REMPLACEMENT"/>
    <d v="2024-04-16T00:00:00"/>
    <x v="4"/>
    <m/>
    <m/>
    <m/>
    <m/>
    <m/>
    <m/>
    <m/>
    <m/>
    <m/>
    <m/>
    <n v="1"/>
    <n v="0"/>
    <n v="1"/>
    <x v="1"/>
    <x v="5"/>
    <x v="0"/>
    <x v="0"/>
  </r>
  <r>
    <d v="2024-04-15T00:00:00"/>
    <m/>
    <x v="2"/>
    <s v="203931155"/>
    <s v="37272819824"/>
    <s v="PREPAID"/>
    <m/>
    <m/>
    <x v="0"/>
    <s v="REMPLACEMENT"/>
    <d v="2024-04-16T00:00:00"/>
    <x v="4"/>
    <m/>
    <m/>
    <m/>
    <m/>
    <m/>
    <m/>
    <m/>
    <m/>
    <m/>
    <m/>
    <n v="0"/>
    <n v="0"/>
    <n v="0"/>
    <x v="1"/>
    <x v="5"/>
    <x v="0"/>
    <x v="0"/>
  </r>
  <r>
    <d v="2024-04-15T00:00:00"/>
    <s v="MBOUA LYME"/>
    <x v="2"/>
    <s v="203920876"/>
    <s v="2219018293"/>
    <s v="PREPAID"/>
    <m/>
    <s v="674249905"/>
    <x v="0"/>
    <s v="REMPLACEMENT"/>
    <d v="2024-04-16T00:00:00"/>
    <x v="4"/>
    <m/>
    <m/>
    <m/>
    <m/>
    <m/>
    <m/>
    <m/>
    <m/>
    <m/>
    <m/>
    <n v="1"/>
    <n v="0"/>
    <n v="1"/>
    <x v="1"/>
    <x v="5"/>
    <x v="0"/>
    <x v="0"/>
  </r>
  <r>
    <d v="2024-04-15T00:00:00"/>
    <s v="MBOUMDI ELIMBI"/>
    <x v="2"/>
    <s v="203906459"/>
    <s v="37237007408"/>
    <s v="PREPAID"/>
    <m/>
    <s v="697254505"/>
    <x v="0"/>
    <s v="REMPLACEMENT"/>
    <d v="2024-04-16T00:00:00"/>
    <x v="4"/>
    <m/>
    <m/>
    <m/>
    <m/>
    <m/>
    <m/>
    <m/>
    <m/>
    <m/>
    <m/>
    <n v="1"/>
    <n v="0"/>
    <n v="1"/>
    <x v="1"/>
    <x v="5"/>
    <x v="0"/>
    <x v="0"/>
  </r>
  <r>
    <d v="2024-04-15T00:00:00"/>
    <s v="DASH MEDIA "/>
    <x v="2"/>
    <s v="203750424"/>
    <s v="37272547730"/>
    <s v="POSTPAID"/>
    <m/>
    <m/>
    <x v="4"/>
    <s v="REMPLACEMENT"/>
    <d v="2024-04-29T00:00:00"/>
    <x v="4"/>
    <m/>
    <m/>
    <m/>
    <m/>
    <m/>
    <m/>
    <m/>
    <m/>
    <m/>
    <m/>
    <n v="1"/>
    <n v="0"/>
    <n v="1"/>
    <x v="1"/>
    <x v="5"/>
    <x v="0"/>
    <x v="0"/>
  </r>
  <r>
    <d v="2024-04-15T00:00:00"/>
    <s v="MBOPDA TCH"/>
    <x v="2"/>
    <s v="203927390"/>
    <s v="37272531288"/>
    <s v="PREPAID"/>
    <m/>
    <s v="681570585"/>
    <x v="0"/>
    <s v="REMPLACEMENT"/>
    <d v="2024-04-16T00:00:00"/>
    <x v="4"/>
    <m/>
    <m/>
    <m/>
    <m/>
    <m/>
    <m/>
    <m/>
    <m/>
    <m/>
    <m/>
    <n v="1"/>
    <n v="0"/>
    <n v="1"/>
    <x v="1"/>
    <x v="5"/>
    <x v="0"/>
    <x v="0"/>
  </r>
  <r>
    <d v="2024-04-15T00:00:00"/>
    <s v="PEMI EGBER"/>
    <x v="2"/>
    <s v="203931790"/>
    <s v="37246203667"/>
    <s v="PREPAID"/>
    <m/>
    <m/>
    <x v="0"/>
    <s v="REMPLACEMENT"/>
    <d v="2024-04-16T00:00:00"/>
    <x v="4"/>
    <m/>
    <m/>
    <m/>
    <m/>
    <m/>
    <m/>
    <m/>
    <m/>
    <m/>
    <m/>
    <n v="1"/>
    <n v="0"/>
    <n v="1"/>
    <x v="1"/>
    <x v="5"/>
    <x v="0"/>
    <x v="0"/>
  </r>
  <r>
    <d v="2024-04-15T00:00:00"/>
    <s v="EGLITH"/>
    <x v="2"/>
    <s v="203918312"/>
    <s v="37246202800"/>
    <s v="PREPAID"/>
    <m/>
    <s v="691629282"/>
    <x v="0"/>
    <s v="REMPLACEMENT"/>
    <d v="2024-04-16T00:00:00"/>
    <x v="4"/>
    <m/>
    <m/>
    <m/>
    <m/>
    <m/>
    <m/>
    <m/>
    <m/>
    <n v="1"/>
    <s v="TROUVER FAIT"/>
    <n v="1"/>
    <n v="0"/>
    <n v="1"/>
    <x v="1"/>
    <x v="5"/>
    <x v="0"/>
    <x v="0"/>
  </r>
  <r>
    <d v="2024-04-15T00:00:00"/>
    <s v="DIBOTI LOVES"/>
    <x v="2"/>
    <s v="203887856"/>
    <s v="8986609"/>
    <s v="PREPAID"/>
    <m/>
    <s v="677988151"/>
    <x v="0"/>
    <s v="REMPLACEMENT"/>
    <d v="2024-04-16T00:00:00"/>
    <x v="4"/>
    <m/>
    <m/>
    <m/>
    <m/>
    <m/>
    <m/>
    <m/>
    <m/>
    <m/>
    <m/>
    <n v="1"/>
    <n v="0"/>
    <n v="1"/>
    <x v="1"/>
    <x v="5"/>
    <x v="0"/>
    <x v="0"/>
  </r>
  <r>
    <d v="2024-04-15T00:00:00"/>
    <s v="BAWOUKE"/>
    <x v="2"/>
    <s v="203910827"/>
    <s v="2218126633"/>
    <s v="PREPAID"/>
    <m/>
    <m/>
    <x v="0"/>
    <s v="REMPLACEMENT"/>
    <d v="2024-04-16T00:00:00"/>
    <x v="4"/>
    <m/>
    <m/>
    <m/>
    <m/>
    <m/>
    <m/>
    <m/>
    <m/>
    <m/>
    <m/>
    <n v="1"/>
    <n v="0"/>
    <n v="1"/>
    <x v="1"/>
    <x v="5"/>
    <x v="0"/>
    <x v="0"/>
  </r>
  <r>
    <d v="2024-04-15T00:00:00"/>
    <s v="WOUNGNUE"/>
    <x v="2"/>
    <s v="203928604"/>
    <s v="37272592678"/>
    <s v="PREPAID"/>
    <m/>
    <s v="678154662"/>
    <x v="0"/>
    <s v="REMPLACEMENT"/>
    <d v="2024-04-16T00:00:00"/>
    <x v="4"/>
    <s v="EVEHE"/>
    <d v="2024-04-15T00:00:00"/>
    <m/>
    <s v="23019300"/>
    <m/>
    <m/>
    <m/>
    <d v="2024-04-15T00:00:00"/>
    <m/>
    <s v="FAIT"/>
    <n v="1"/>
    <n v="1"/>
    <n v="0"/>
    <x v="1"/>
    <x v="5"/>
    <x v="0"/>
    <x v="0"/>
  </r>
  <r>
    <d v="2024-04-15T00:00:00"/>
    <s v="JANTCHE"/>
    <x v="2"/>
    <s v="204189324"/>
    <s v="37241278276"/>
    <s v="PREPAID"/>
    <m/>
    <m/>
    <x v="0"/>
    <s v="REMPLACEMENT"/>
    <d v="2024-04-12T00:00:00"/>
    <x v="4"/>
    <m/>
    <m/>
    <m/>
    <m/>
    <m/>
    <m/>
    <m/>
    <m/>
    <m/>
    <m/>
    <n v="1"/>
    <n v="0"/>
    <n v="1"/>
    <x v="1"/>
    <x v="5"/>
    <x v="0"/>
    <x v="0"/>
  </r>
  <r>
    <d v="2024-04-15T00:00:00"/>
    <s v="LE GRENIER "/>
    <x v="2"/>
    <s v="203925940"/>
    <s v="014425876373"/>
    <s v="PREPAID"/>
    <m/>
    <s v="671987014"/>
    <x v="0"/>
    <s v="REMPLACEMENT"/>
    <d v="2024-04-08T00:00:00"/>
    <x v="4"/>
    <m/>
    <m/>
    <m/>
    <m/>
    <m/>
    <m/>
    <m/>
    <m/>
    <m/>
    <m/>
    <n v="1"/>
    <n v="0"/>
    <n v="1"/>
    <x v="1"/>
    <x v="5"/>
    <x v="0"/>
    <x v="0"/>
  </r>
  <r>
    <d v="2024-04-15T00:00:00"/>
    <s v="KOME DIEUDONNE "/>
    <x v="2"/>
    <s v="203932743"/>
    <s v="37237177318"/>
    <m/>
    <m/>
    <m/>
    <x v="0"/>
    <s v="REMPLACEMENT"/>
    <d v="2024-04-11T00:00:00"/>
    <x v="4"/>
    <m/>
    <m/>
    <m/>
    <m/>
    <m/>
    <m/>
    <m/>
    <m/>
    <m/>
    <m/>
    <n v="1"/>
    <n v="0"/>
    <n v="1"/>
    <x v="1"/>
    <x v="5"/>
    <x v="0"/>
    <x v="0"/>
  </r>
  <r>
    <d v="2024-04-15T00:00:00"/>
    <s v="GLOBAL LOGISTIQCS"/>
    <x v="1"/>
    <s v="204478873"/>
    <s v="1030700448137"/>
    <m/>
    <m/>
    <s v="699818804"/>
    <x v="0"/>
    <s v="REPRISE D'ABNT"/>
    <d v="2024-04-11T00:00:00"/>
    <x v="4"/>
    <s v="NZEMO"/>
    <d v="2024-04-15T00:00:00"/>
    <s v="NZEMO/FANWI"/>
    <s v="23019047"/>
    <m/>
    <m/>
    <m/>
    <m/>
    <m/>
    <s v="FAIT"/>
    <n v="1"/>
    <n v="1"/>
    <n v="0"/>
    <x v="1"/>
    <x v="5"/>
    <x v="0"/>
    <x v="0"/>
  </r>
  <r>
    <d v="2024-04-15T00:00:00"/>
    <s v="EGLISE D CHRISTIANISTE "/>
    <x v="2"/>
    <s v="203918311"/>
    <s v="2218104919"/>
    <s v="PREPAID "/>
    <m/>
    <s v="691629282"/>
    <x v="0"/>
    <s v="REMPLACEMENT"/>
    <d v="2024-04-17T00:00:00"/>
    <x v="4"/>
    <s v="EVEHE"/>
    <d v="2024-04-15T00:00:00"/>
    <s v="EVEHE/MOUMENI"/>
    <s v="23019299"/>
    <m/>
    <m/>
    <m/>
    <m/>
    <m/>
    <s v="FAIT"/>
    <n v="1"/>
    <n v="1"/>
    <n v="0"/>
    <x v="1"/>
    <x v="5"/>
    <x v="0"/>
    <x v="0"/>
  </r>
  <r>
    <d v="2024-04-15T00:00:00"/>
    <s v="MONGO NGANGUE "/>
    <x v="1"/>
    <s v="200030318"/>
    <s v="37272835432"/>
    <s v="POSTPAID "/>
    <m/>
    <s v="674618424"/>
    <x v="0"/>
    <s v="REMPLACEMENT"/>
    <d v="2024-04-17T00:00:00"/>
    <x v="4"/>
    <s v="NZEMO"/>
    <d v="2024-04-15T00:00:00"/>
    <s v="NZEMO/FANWI"/>
    <s v="2219000094"/>
    <m/>
    <m/>
    <m/>
    <m/>
    <m/>
    <s v="FAIT "/>
    <n v="1"/>
    <n v="1"/>
    <n v="0"/>
    <x v="1"/>
    <x v="5"/>
    <x v="0"/>
    <x v="0"/>
  </r>
  <r>
    <d v="2024-04-15T00:00:00"/>
    <s v="JEAN RGER EBANDA "/>
    <x v="1"/>
    <s v="203771333"/>
    <s v="021850132704"/>
    <s v="PREPAID "/>
    <m/>
    <s v="697256321"/>
    <x v="0"/>
    <s v="REMPLACEMENT "/>
    <d v="2024-04-17T00:00:00"/>
    <x v="4"/>
    <s v="YAMGA "/>
    <d v="2024-04-15T00:00:00"/>
    <s v="YAMGA/PETGA "/>
    <s v="23019310"/>
    <m/>
    <m/>
    <m/>
    <m/>
    <m/>
    <s v="FAIT"/>
    <n v="1"/>
    <n v="1"/>
    <n v="0"/>
    <x v="1"/>
    <x v="5"/>
    <x v="0"/>
    <x v="0"/>
  </r>
  <r>
    <d v="2024-04-15T00:00:00"/>
    <s v="AYABAKO"/>
    <x v="0"/>
    <s v="203067138"/>
    <s v="1030700390944"/>
    <s v="POSTPAID "/>
    <m/>
    <s v="699531132"/>
    <x v="0"/>
    <s v="REMPLACEMENT "/>
    <d v="2024-05-08T00:00:00"/>
    <x v="4"/>
    <s v="YAMGA "/>
    <d v="2024-04-15T00:00:00"/>
    <s v="YAMGA/PETGA "/>
    <s v="23019058"/>
    <m/>
    <m/>
    <m/>
    <m/>
    <m/>
    <s v="FAIT"/>
    <n v="1"/>
    <n v="1"/>
    <n v="0"/>
    <x v="1"/>
    <x v="5"/>
    <x v="0"/>
    <x v="0"/>
  </r>
  <r>
    <d v="2024-04-15T00:00:00"/>
    <s v="YOUSSA NGNIAMBO"/>
    <x v="0"/>
    <s v="203902429"/>
    <s v="014392586120"/>
    <s v="PREPAID "/>
    <m/>
    <s v="699531132"/>
    <x v="0"/>
    <s v="REMPLACEMENT "/>
    <d v="2024-05-08T00:00:00"/>
    <x v="4"/>
    <s v="FONGANG "/>
    <d v="2024-04-15T00:00:00"/>
    <s v="FONGANG/MAKUATE"/>
    <s v="22999456"/>
    <m/>
    <m/>
    <m/>
    <m/>
    <m/>
    <s v="FAIT"/>
    <n v="1"/>
    <n v="1"/>
    <n v="0"/>
    <x v="1"/>
    <x v="5"/>
    <x v="0"/>
    <x v="0"/>
  </r>
  <r>
    <d v="2024-04-15T00:00:00"/>
    <s v="PETER KETOH"/>
    <x v="0"/>
    <s v="204120864"/>
    <s v="37237051612"/>
    <s v="PREPAID "/>
    <m/>
    <s v="675589379"/>
    <x v="0"/>
    <s v="REMPLACEMENT "/>
    <d v="2024-05-08T00:00:00"/>
    <x v="2"/>
    <s v="SAMAGA "/>
    <d v="2024-04-15T00:00:00"/>
    <s v="SAMAGA/YANGO"/>
    <s v="23018836"/>
    <m/>
    <m/>
    <m/>
    <m/>
    <m/>
    <s v="FAIT"/>
    <n v="1"/>
    <n v="1"/>
    <n v="0"/>
    <x v="1"/>
    <x v="5"/>
    <x v="0"/>
    <x v="0"/>
  </r>
  <r>
    <d v="2024-04-15T00:00:00"/>
    <s v="TCHOUASSI MOUMISSIE"/>
    <x v="2"/>
    <s v="203321201"/>
    <s v="37237131950"/>
    <s v="PREPAID "/>
    <m/>
    <s v="677511728"/>
    <x v="0"/>
    <s v="REMPLACEMENT "/>
    <d v="2024-04-11T00:00:00"/>
    <x v="11"/>
    <s v="MOUNGUI"/>
    <d v="2024-04-15T00:00:00"/>
    <s v="MOUNGUI"/>
    <s v="23019309"/>
    <m/>
    <m/>
    <m/>
    <m/>
    <m/>
    <s v="FAIT"/>
    <n v="1"/>
    <n v="1"/>
    <n v="0"/>
    <x v="1"/>
    <x v="5"/>
    <x v="0"/>
    <x v="0"/>
  </r>
  <r>
    <d v="2024-04-15T00:00:00"/>
    <s v="EMERGENCE BUDINESS"/>
    <x v="2"/>
    <s v="201929641"/>
    <s v="01442587973"/>
    <s v="PREPAID "/>
    <m/>
    <s v="694309535"/>
    <x v="0"/>
    <s v="REMPLACEMENT "/>
    <d v="2024-04-11T00:00:00"/>
    <x v="8"/>
    <s v="KOM"/>
    <d v="2024-04-15T00:00:00"/>
    <s v="KOM"/>
    <s v="0179000745077"/>
    <m/>
    <m/>
    <m/>
    <m/>
    <m/>
    <s v="FAIT"/>
    <n v="1"/>
    <n v="1"/>
    <n v="0"/>
    <x v="1"/>
    <x v="5"/>
    <x v="0"/>
    <x v="0"/>
  </r>
  <r>
    <d v="2024-04-15T00:00:00"/>
    <s v="SANGA DELPHINE "/>
    <x v="2"/>
    <s v="203123580"/>
    <s v="37272801830"/>
    <s v="PREPAID"/>
    <m/>
    <s v="699906114"/>
    <x v="0"/>
    <s v="REMPLACEMENT "/>
    <d v="2024-04-11T00:00:00"/>
    <x v="8"/>
    <s v="KOM"/>
    <d v="2024-04-15T00:00:00"/>
    <s v="KOM"/>
    <s v="0179000776239"/>
    <m/>
    <m/>
    <m/>
    <m/>
    <m/>
    <s v="FAIT"/>
    <n v="1"/>
    <n v="1"/>
    <n v="0"/>
    <x v="1"/>
    <x v="5"/>
    <x v="0"/>
    <x v="0"/>
  </r>
  <r>
    <d v="2024-04-15T00:00:00"/>
    <s v="FOHOUO NWAFO"/>
    <x v="2"/>
    <s v="204115558"/>
    <s v="1030700442900"/>
    <s v="PREPAID "/>
    <m/>
    <s v="674740645"/>
    <x v="0"/>
    <s v="REMPLACEMENT"/>
    <d v="2024-04-11T00:00:00"/>
    <x v="8"/>
    <s v="KOM"/>
    <d v="2024-04-15T00:00:00"/>
    <s v="KOM"/>
    <s v="0179000752495"/>
    <m/>
    <m/>
    <m/>
    <m/>
    <m/>
    <s v="FAIT"/>
    <n v="1"/>
    <n v="1"/>
    <n v="0"/>
    <x v="1"/>
    <x v="5"/>
    <x v="0"/>
    <x v="0"/>
  </r>
  <r>
    <d v="2024-04-15T00:00:00"/>
    <s v="FRANCIS MAKUBE "/>
    <x v="0"/>
    <s v="203909324"/>
    <s v="23018879"/>
    <s v="PREPAID "/>
    <m/>
    <s v="651799779"/>
    <x v="0"/>
    <s v="REMPLACEMENT"/>
    <d v="2024-05-06T00:00:00"/>
    <x v="4"/>
    <s v="FONGANG "/>
    <d v="2024-04-15T00:00:00"/>
    <s v="FONGANG/MAKUATE"/>
    <s v="23018834"/>
    <m/>
    <m/>
    <m/>
    <m/>
    <m/>
    <s v="FAIT "/>
    <n v="1"/>
    <n v="1"/>
    <n v="0"/>
    <x v="1"/>
    <x v="5"/>
    <x v="0"/>
    <x v="0"/>
  </r>
  <r>
    <d v="2024-04-15T00:00:00"/>
    <s v="KWOH ANNE MARIE "/>
    <x v="2"/>
    <s v="200064769"/>
    <s v="1503063617"/>
    <s v="POSTPAID "/>
    <m/>
    <s v="699847360"/>
    <x v="0"/>
    <s v="REMPLACEMENT "/>
    <d v="2024-05-06T00:00:00"/>
    <x v="4"/>
    <s v="SIELATCHOM"/>
    <d v="2024-04-15T00:00:00"/>
    <s v="SIELATCHOM"/>
    <s v="1030700444619"/>
    <m/>
    <m/>
    <m/>
    <m/>
    <m/>
    <s v="FAIT"/>
    <n v="1"/>
    <n v="1"/>
    <n v="0"/>
    <x v="1"/>
    <x v="5"/>
    <x v="0"/>
    <x v="0"/>
  </r>
  <r>
    <d v="2024-04-15T00:00:00"/>
    <s v="ROSE NGO "/>
    <x v="1"/>
    <s v="203900831"/>
    <s v="37272836182"/>
    <s v="PREPAID "/>
    <m/>
    <s v="677072329"/>
    <x v="0"/>
    <s v="REMPLACEMENT "/>
    <d v="2024-04-15T00:00:00"/>
    <x v="4"/>
    <s v="SIELATCHOM"/>
    <d v="2024-04-15T00:00:00"/>
    <s v="SIELATCHOM"/>
    <s v="23019303"/>
    <m/>
    <m/>
    <m/>
    <m/>
    <m/>
    <s v="FAIT"/>
    <n v="1"/>
    <n v="1"/>
    <n v="0"/>
    <x v="1"/>
    <x v="5"/>
    <x v="0"/>
    <x v="0"/>
  </r>
  <r>
    <d v="2024-04-15T00:00:00"/>
    <s v="NDIFOR NJONG"/>
    <x v="1"/>
    <s v="204105724"/>
    <s v="6714176"/>
    <s v="PREPAID "/>
    <m/>
    <s v="677525732"/>
    <x v="0"/>
    <s v="REMPLACEMENT "/>
    <d v="2024-04-16T00:00:00"/>
    <x v="4"/>
    <s v="SIELATCHOM"/>
    <d v="2024-04-15T00:00:00"/>
    <s v="SIELATCHOM"/>
    <s v="2218108374"/>
    <m/>
    <m/>
    <m/>
    <m/>
    <m/>
    <s v="FAIT"/>
    <n v="1"/>
    <n v="1"/>
    <n v="0"/>
    <x v="1"/>
    <x v="5"/>
    <x v="0"/>
    <x v="0"/>
  </r>
  <r>
    <d v="2024-04-15T00:00:00"/>
    <s v="MBAKA TECLAIRE "/>
    <x v="1"/>
    <s v="203988992"/>
    <s v="0179000752305"/>
    <s v="PREPAID "/>
    <m/>
    <s v="694590602"/>
    <x v="0"/>
    <s v="REMPLACEMENT"/>
    <d v="2024-04-16T00:00:00"/>
    <x v="4"/>
    <s v="EWANE "/>
    <d v="2024-04-15T00:00:00"/>
    <s v="EWANE /EDIMO"/>
    <m/>
    <m/>
    <m/>
    <m/>
    <m/>
    <m/>
    <s v="FAIT "/>
    <n v="1"/>
    <n v="0"/>
    <n v="1"/>
    <x v="1"/>
    <x v="5"/>
    <x v="0"/>
    <x v="0"/>
  </r>
  <r>
    <d v="2024-04-15T00:00:00"/>
    <s v="HAMADOU AMADOU"/>
    <x v="0"/>
    <s v="203894727"/>
    <s v="37272521420"/>
    <s v="PREPAID"/>
    <m/>
    <s v="697858704"/>
    <x v="0"/>
    <m/>
    <d v="2024-05-06T00:00:00"/>
    <x v="4"/>
    <m/>
    <m/>
    <m/>
    <m/>
    <m/>
    <m/>
    <m/>
    <m/>
    <m/>
    <m/>
    <n v="1"/>
    <n v="0"/>
    <n v="1"/>
    <x v="1"/>
    <x v="5"/>
    <x v="0"/>
    <x v="0"/>
  </r>
  <r>
    <d v="2024-04-15T00:00:00"/>
    <s v="JACOB GNANGOU"/>
    <x v="0"/>
    <s v="200198043"/>
    <s v="37272836554"/>
    <s v="POSTPAID"/>
    <m/>
    <s v="695061986"/>
    <x v="5"/>
    <s v="POSE COFFRET"/>
    <d v="2024-04-16T00:00:00"/>
    <x v="3"/>
    <s v="EWANE "/>
    <d v="2024-04-15T00:00:00"/>
    <s v="EWANE /EDIMO"/>
    <m/>
    <m/>
    <m/>
    <m/>
    <m/>
    <m/>
    <s v="FAIT"/>
    <n v="1"/>
    <n v="0"/>
    <n v="1"/>
    <x v="1"/>
    <x v="5"/>
    <x v="0"/>
    <x v="0"/>
  </r>
  <r>
    <d v="2024-04-15T00:00:00"/>
    <s v="WAMBO JOSEPH"/>
    <x v="0"/>
    <s v="203674582"/>
    <s v="37272733066"/>
    <s v="PREPAID"/>
    <m/>
    <s v="696660740"/>
    <x v="0"/>
    <s v="REMPLACEMENT"/>
    <d v="2024-04-16T00:00:00"/>
    <x v="8"/>
    <s v="SAMAGA "/>
    <d v="2024-04-15T00:00:00"/>
    <s v="SAMAGA/YANGO"/>
    <s v="23018884"/>
    <m/>
    <m/>
    <m/>
    <m/>
    <m/>
    <s v="FAIT"/>
    <n v="1"/>
    <n v="1"/>
    <n v="0"/>
    <x v="1"/>
    <x v="5"/>
    <x v="0"/>
    <x v="0"/>
  </r>
  <r>
    <d v="2024-04-15T00:00:00"/>
    <s v="NDUKAFE SYLVESTRE"/>
    <x v="0"/>
    <s v="200187415"/>
    <s v="37272746605"/>
    <s v="POSTPAID "/>
    <m/>
    <s v="650468747"/>
    <x v="6"/>
    <s v="REMPLACEMENT"/>
    <d v="2024-04-16T00:00:00"/>
    <x v="7"/>
    <s v="MFOUAPON"/>
    <d v="2024-04-15T00:00:00"/>
    <s v="MFOUAPON"/>
    <s v="017900074561"/>
    <m/>
    <m/>
    <m/>
    <m/>
    <m/>
    <s v="FAIT"/>
    <n v="1"/>
    <n v="1"/>
    <n v="0"/>
    <x v="1"/>
    <x v="5"/>
    <x v="0"/>
    <x v="0"/>
  </r>
  <r>
    <d v="2024-04-15T00:00:00"/>
    <s v="ROMARIO HEUBA "/>
    <x v="0"/>
    <s v="204062954"/>
    <s v="372461188068"/>
    <s v="PREPAID "/>
    <m/>
    <s v="692921216"/>
    <x v="6"/>
    <s v="REMPLACEMENT"/>
    <d v="2024-04-16T00:00:00"/>
    <x v="2"/>
    <s v="SAMAGA "/>
    <d v="2024-04-15T00:00:00"/>
    <s v="SAMAGA "/>
    <s v="23018832"/>
    <m/>
    <m/>
    <m/>
    <m/>
    <m/>
    <s v="FAIT"/>
    <n v="1"/>
    <n v="1"/>
    <n v="0"/>
    <x v="1"/>
    <x v="5"/>
    <x v="0"/>
    <x v="0"/>
  </r>
  <r>
    <d v="2024-04-15T00:00:00"/>
    <s v="BESSALA BESSALA "/>
    <x v="0"/>
    <s v="204252995"/>
    <s v="1030700366057"/>
    <s v="PREPAID "/>
    <m/>
    <s v="699872304"/>
    <x v="6"/>
    <s v="REMPLACEMENT"/>
    <d v="2024-04-09T00:00:00"/>
    <x v="8"/>
    <s v="SAMAGA "/>
    <d v="2024-04-15T00:00:00"/>
    <s v="SAMAGA "/>
    <s v="017900078278"/>
    <m/>
    <m/>
    <m/>
    <m/>
    <m/>
    <s v="FAIT"/>
    <n v="1"/>
    <n v="1"/>
    <n v="0"/>
    <x v="1"/>
    <x v="5"/>
    <x v="0"/>
    <x v="0"/>
  </r>
  <r>
    <d v="2024-04-15T00:00:00"/>
    <s v="MARIE ARIAME DOULA "/>
    <x v="0"/>
    <s v="203892730"/>
    <m/>
    <s v="PREPAID "/>
    <m/>
    <s v="697320806"/>
    <x v="6"/>
    <s v="REMPLACEMENT"/>
    <d v="2024-04-09T00:00:00"/>
    <x v="2"/>
    <s v="SAMAGA "/>
    <d v="2024-04-15T00:00:00"/>
    <s v="SAMAGA "/>
    <s v="23018842"/>
    <m/>
    <m/>
    <m/>
    <m/>
    <m/>
    <s v="FAIT"/>
    <n v="1"/>
    <n v="1"/>
    <n v="0"/>
    <x v="1"/>
    <x v="5"/>
    <x v="0"/>
    <x v="0"/>
  </r>
  <r>
    <d v="2024-04-15T00:00:00"/>
    <s v="LOE SYLVIE "/>
    <x v="0"/>
    <s v="204147673"/>
    <m/>
    <s v="PREPAID "/>
    <m/>
    <s v="696402969"/>
    <x v="6"/>
    <s v="REMPLACEMENT"/>
    <d v="2024-04-08T00:00:00"/>
    <x v="0"/>
    <s v="ZE BIDJA"/>
    <d v="2024-04-15T00:00:00"/>
    <s v="ZE/HENDA"/>
    <s v="23018883"/>
    <m/>
    <m/>
    <m/>
    <m/>
    <m/>
    <s v="FAIT"/>
    <n v="1"/>
    <n v="1"/>
    <n v="0"/>
    <x v="1"/>
    <x v="5"/>
    <x v="0"/>
    <x v="0"/>
  </r>
  <r>
    <d v="2024-04-15T00:00:00"/>
    <s v="DIARA HAMADI"/>
    <x v="0"/>
    <s v="203890093"/>
    <m/>
    <s v="PREPAID "/>
    <m/>
    <s v="650650047"/>
    <x v="6"/>
    <s v="REMPLACEMENT "/>
    <d v="2024-04-08T00:00:00"/>
    <x v="12"/>
    <s v="ZE BIDJA"/>
    <d v="2024-04-15T00:00:00"/>
    <s v="ZE/HENDA"/>
    <s v="23018886"/>
    <m/>
    <m/>
    <m/>
    <m/>
    <m/>
    <s v="FAIT"/>
    <n v="1"/>
    <n v="1"/>
    <n v="0"/>
    <x v="1"/>
    <x v="5"/>
    <x v="0"/>
    <x v="0"/>
  </r>
  <r>
    <d v="2024-04-15T00:00:00"/>
    <s v="CISSE MOUSSA "/>
    <x v="2"/>
    <s v="203945117"/>
    <m/>
    <s v="PREPAID "/>
    <m/>
    <s v="699831213"/>
    <x v="6"/>
    <s v="REMPLACEMENT"/>
    <d v="2024-04-08T00:00:00"/>
    <x v="11"/>
    <s v="MOUNGUI"/>
    <d v="2024-04-15T00:00:00"/>
    <s v="MOUNGUI"/>
    <s v="23026576"/>
    <m/>
    <m/>
    <m/>
    <m/>
    <m/>
    <s v="FAIT"/>
    <n v="1"/>
    <n v="1"/>
    <n v="0"/>
    <x v="1"/>
    <x v="5"/>
    <x v="0"/>
    <x v="0"/>
  </r>
  <r>
    <d v="2024-04-15T00:00:00"/>
    <s v="LAND OPTIC"/>
    <x v="2"/>
    <s v="204082874"/>
    <m/>
    <s v="PREPAID "/>
    <m/>
    <s v="696040413"/>
    <x v="6"/>
    <s v="REMPLACEMENT "/>
    <d v="2024-04-09T00:00:00"/>
    <x v="0"/>
    <s v="ZE BIDJA"/>
    <d v="2024-04-15T00:00:00"/>
    <s v="ZE/HENDA"/>
    <s v="23018885"/>
    <m/>
    <m/>
    <m/>
    <m/>
    <m/>
    <s v="FAIT"/>
    <n v="1"/>
    <n v="1"/>
    <n v="0"/>
    <x v="1"/>
    <x v="5"/>
    <x v="0"/>
    <x v="0"/>
  </r>
  <r>
    <d v="2024-04-15T00:00:00"/>
    <s v="NIM TECLA"/>
    <x v="2"/>
    <s v="203054628"/>
    <m/>
    <s v="PREPAID "/>
    <m/>
    <s v="677767223"/>
    <x v="6"/>
    <s v="REMPLACEMENT "/>
    <d v="2024-04-03T00:00:00"/>
    <x v="8"/>
    <s v="DOUFANG"/>
    <d v="2024-04-15T00:00:00"/>
    <s v="DOUFANG/KOM"/>
    <s v="23018887"/>
    <m/>
    <m/>
    <m/>
    <m/>
    <m/>
    <s v="FAIT "/>
    <n v="1"/>
    <n v="1"/>
    <n v="0"/>
    <x v="1"/>
    <x v="5"/>
    <x v="0"/>
    <x v="0"/>
  </r>
  <r>
    <d v="2024-04-15T00:00:00"/>
    <s v="SEMEN KOUAMEN "/>
    <x v="2"/>
    <s v="203064334"/>
    <m/>
    <s v="POSTPAID "/>
    <m/>
    <s v="699155308"/>
    <x v="6"/>
    <s v="REMPLACEMENT "/>
    <d v="2024-04-29T00:00:00"/>
    <x v="0"/>
    <s v="DOUFANG"/>
    <d v="2024-04-15T00:00:00"/>
    <s v="DOUFANG/KOM"/>
    <s v="23026065"/>
    <m/>
    <m/>
    <m/>
    <m/>
    <m/>
    <s v="FAIT "/>
    <n v="1"/>
    <n v="1"/>
    <n v="0"/>
    <x v="1"/>
    <x v="5"/>
    <x v="0"/>
    <x v="0"/>
  </r>
  <r>
    <d v="2024-04-15T00:00:00"/>
    <s v="MAGEB ASAAHA "/>
    <x v="1"/>
    <s v="204438892"/>
    <m/>
    <s v="PREPAID "/>
    <m/>
    <m/>
    <x v="6"/>
    <s v="REMPLACEMENT "/>
    <d v="2024-05-02T00:00:00"/>
    <x v="7"/>
    <s v="MFOUAPON"/>
    <d v="2024-04-15T00:00:00"/>
    <s v="MFOUAPON"/>
    <s v="23026057"/>
    <m/>
    <m/>
    <m/>
    <m/>
    <m/>
    <s v="FAIT"/>
    <n v="1"/>
    <n v="1"/>
    <n v="0"/>
    <x v="1"/>
    <x v="5"/>
    <x v="0"/>
    <x v="0"/>
  </r>
  <r>
    <d v="2024-04-15T00:00:00"/>
    <s v="JOSEPH KEMOGNE "/>
    <x v="1"/>
    <s v="201569708"/>
    <m/>
    <s v="POSTPAID "/>
    <m/>
    <m/>
    <x v="6"/>
    <s v="REMPLACEMENT "/>
    <d v="2024-04-09T00:00:00"/>
    <x v="7"/>
    <s v="MFOUAPON"/>
    <d v="2024-04-15T00:00:00"/>
    <s v="MFOUAPON"/>
    <s v="23026058"/>
    <m/>
    <m/>
    <m/>
    <m/>
    <m/>
    <s v="FAIT "/>
    <n v="1"/>
    <n v="1"/>
    <n v="0"/>
    <x v="1"/>
    <x v="5"/>
    <x v="0"/>
    <x v="0"/>
  </r>
  <r>
    <d v="2024-04-15T00:00:00"/>
    <s v="MOUMDE ELIMBI "/>
    <x v="2"/>
    <s v="203106459"/>
    <m/>
    <s v="PREPAID"/>
    <m/>
    <s v="679254505"/>
    <x v="6"/>
    <s v="REMPLACEMENT "/>
    <d v="2024-04-09T00:00:00"/>
    <x v="4"/>
    <s v="TOUBU"/>
    <d v="2024-04-17T00:00:00"/>
    <s v="TUBOU"/>
    <s v="203920876"/>
    <m/>
    <m/>
    <m/>
    <m/>
    <m/>
    <s v="FAIT "/>
    <n v="1"/>
    <n v="1"/>
    <n v="0"/>
    <x v="1"/>
    <x v="5"/>
    <x v="0"/>
    <x v="0"/>
  </r>
  <r>
    <d v="2024-04-15T00:00:00"/>
    <s v="MBOUA LYDIENNE "/>
    <x v="2"/>
    <s v="203920876"/>
    <m/>
    <s v="PREPAID "/>
    <m/>
    <s v="674249905"/>
    <x v="6"/>
    <s v="REMPLACEMENT "/>
    <d v="2024-04-09T00:00:00"/>
    <x v="4"/>
    <s v="TOUBU"/>
    <d v="2024-04-17T00:00:00"/>
    <s v="TUBOU"/>
    <s v="203920876"/>
    <m/>
    <m/>
    <m/>
    <m/>
    <m/>
    <s v="FAIT "/>
    <n v="1"/>
    <n v="1"/>
    <n v="0"/>
    <x v="1"/>
    <x v="5"/>
    <x v="0"/>
    <x v="0"/>
  </r>
  <r>
    <d v="2024-04-15T00:00:00"/>
    <s v="KOTTO"/>
    <x v="2"/>
    <s v="203928697"/>
    <m/>
    <s v="PREPAID "/>
    <m/>
    <s v="691629282"/>
    <x v="6"/>
    <m/>
    <m/>
    <x v="4"/>
    <m/>
    <d v="2024-04-17T00:00:00"/>
    <m/>
    <m/>
    <m/>
    <m/>
    <m/>
    <m/>
    <m/>
    <s v="TROUVER FAIT"/>
    <n v="1"/>
    <n v="0"/>
    <n v="1"/>
    <x v="1"/>
    <x v="5"/>
    <x v="0"/>
    <x v="0"/>
  </r>
  <r>
    <d v="2024-04-15T00:00:00"/>
    <s v="TCHINDA IYESSA"/>
    <x v="2"/>
    <s v="203919387"/>
    <m/>
    <s v="PREPAID "/>
    <m/>
    <s v="693497286"/>
    <x v="0"/>
    <s v="REMPLACEMENT "/>
    <m/>
    <x v="4"/>
    <s v="ESSAPA "/>
    <s v="15/04/2024"/>
    <s v="ESSAPA/MAYELE "/>
    <s v="23018838"/>
    <n v="0"/>
    <n v="0"/>
    <n v="10"/>
    <m/>
    <n v="1"/>
    <s v="FAIT "/>
    <n v="1"/>
    <n v="1"/>
    <n v="0"/>
    <x v="1"/>
    <x v="5"/>
    <x v="0"/>
    <x v="0"/>
  </r>
  <r>
    <d v="2024-04-16T00:00:00"/>
    <s v="DIALLO MAMADOU"/>
    <x v="0"/>
    <s v="203743677"/>
    <m/>
    <s v="POSTPAID "/>
    <m/>
    <s v="699828868"/>
    <x v="6"/>
    <s v="REMPLACEMENT "/>
    <m/>
    <x v="2"/>
    <s v="SAMAGA "/>
    <s v="16/04/2024"/>
    <s v="SAMAGA/YANGO"/>
    <s v="2219004865"/>
    <m/>
    <m/>
    <m/>
    <m/>
    <m/>
    <s v="FAIT "/>
    <n v="1"/>
    <n v="1"/>
    <n v="0"/>
    <x v="0"/>
    <x v="6"/>
    <x v="0"/>
    <x v="0"/>
  </r>
  <r>
    <d v="2024-04-16T00:00:00"/>
    <s v="TCHOUMEN FABRICE "/>
    <x v="1"/>
    <s v="203809117"/>
    <m/>
    <s v="PREPAID "/>
    <m/>
    <s v="698130846"/>
    <x v="6"/>
    <s v="REMPLACEMENT "/>
    <d v="2024-05-08T00:00:00"/>
    <x v="2"/>
    <s v="SAMAGA "/>
    <s v="16/04/2024"/>
    <s v="SAMAGA/YANGO"/>
    <s v="23018840"/>
    <m/>
    <m/>
    <m/>
    <m/>
    <m/>
    <s v="FAIT"/>
    <n v="1"/>
    <n v="1"/>
    <n v="0"/>
    <x v="0"/>
    <x v="6"/>
    <x v="0"/>
    <x v="0"/>
  </r>
  <r>
    <d v="2024-04-16T00:00:00"/>
    <s v="RENE ACHU "/>
    <x v="0"/>
    <s v="204437189"/>
    <m/>
    <s v="POSTPAID "/>
    <m/>
    <m/>
    <x v="6"/>
    <s v="REMPLACEMENT "/>
    <m/>
    <x v="4"/>
    <s v="YAMGA "/>
    <s v="16/04/2024"/>
    <s v="YAMGA/PETGA "/>
    <s v="23019306"/>
    <m/>
    <m/>
    <m/>
    <m/>
    <m/>
    <s v="FAIT"/>
    <n v="1"/>
    <n v="1"/>
    <n v="0"/>
    <x v="0"/>
    <x v="6"/>
    <x v="0"/>
    <x v="0"/>
  </r>
  <r>
    <d v="2024-04-16T00:00:00"/>
    <s v="ESSAMA "/>
    <x v="0"/>
    <s v="203939646"/>
    <m/>
    <s v="POSTPAID "/>
    <m/>
    <s v="699613285"/>
    <x v="6"/>
    <s v="REMPLACEMENT "/>
    <d v="2024-05-06T00:00:00"/>
    <x v="4"/>
    <s v="NZEME "/>
    <s v="16/04/2024"/>
    <s v="NZEMO/FANWI"/>
    <s v="23019053"/>
    <m/>
    <m/>
    <m/>
    <m/>
    <m/>
    <s v="FAIT "/>
    <n v="1"/>
    <n v="1"/>
    <n v="0"/>
    <x v="0"/>
    <x v="6"/>
    <x v="0"/>
    <x v="0"/>
  </r>
  <r>
    <d v="2024-04-16T00:00:00"/>
    <s v="GIGASSUR SARL"/>
    <x v="1"/>
    <s v="203007486"/>
    <m/>
    <s v="INTELLIGENT"/>
    <m/>
    <s v="697814344"/>
    <x v="6"/>
    <s v="REMPLACEMENT "/>
    <d v="2024-05-06T00:00:00"/>
    <x v="4"/>
    <s v="EVEHE "/>
    <s v="16/04/2024"/>
    <s v="EVEHE/MOUMENI"/>
    <s v="1040719000499"/>
    <m/>
    <m/>
    <m/>
    <m/>
    <m/>
    <s v="FAIT"/>
    <n v="1"/>
    <n v="1"/>
    <n v="0"/>
    <x v="0"/>
    <x v="6"/>
    <x v="0"/>
    <x v="0"/>
  </r>
  <r>
    <d v="2024-04-16T00:00:00"/>
    <s v="JANCHE GERMAIN "/>
    <x v="2"/>
    <s v="204189324"/>
    <m/>
    <s v="POSTPAID "/>
    <m/>
    <s v="699924068"/>
    <x v="6"/>
    <s v="REMPLACEMENT "/>
    <d v="2024-05-06T00:00:00"/>
    <x v="4"/>
    <s v="EVEHE"/>
    <s v="16/04/2024"/>
    <s v="EVEHE/MOUMENI"/>
    <s v="2218125972"/>
    <m/>
    <m/>
    <m/>
    <m/>
    <m/>
    <s v="FAIT "/>
    <n v="1"/>
    <n v="1"/>
    <n v="0"/>
    <x v="0"/>
    <x v="6"/>
    <x v="0"/>
    <x v="0"/>
  </r>
  <r>
    <d v="2024-04-16T00:00:00"/>
    <s v="EPEE FRANCOIS "/>
    <x v="2"/>
    <s v="200037696"/>
    <m/>
    <s v="PREPAID "/>
    <m/>
    <s v="69597376"/>
    <x v="6"/>
    <s v="REMPLACEMENT "/>
    <m/>
    <x v="4"/>
    <s v="EVEHE "/>
    <s v="16/04/2024"/>
    <s v="EVEHE/MOUMENI"/>
    <s v="23019307"/>
    <m/>
    <m/>
    <m/>
    <m/>
    <m/>
    <s v="FAIT"/>
    <n v="1"/>
    <n v="1"/>
    <n v="0"/>
    <x v="0"/>
    <x v="6"/>
    <x v="0"/>
    <x v="0"/>
  </r>
  <r>
    <d v="2024-04-16T00:00:00"/>
    <s v="JOSEPH BATIK"/>
    <x v="1"/>
    <s v="203989802"/>
    <m/>
    <s v="PREPAID "/>
    <m/>
    <s v="676333162"/>
    <x v="6"/>
    <s v="REMPLACEMENT "/>
    <m/>
    <x v="4"/>
    <s v="YAMGA "/>
    <s v="16/04/2024"/>
    <s v="YAMGA/PETGA "/>
    <s v="23026575"/>
    <m/>
    <m/>
    <m/>
    <m/>
    <m/>
    <s v="FAIT "/>
    <n v="1"/>
    <n v="1"/>
    <n v="0"/>
    <x v="0"/>
    <x v="6"/>
    <x v="0"/>
    <x v="0"/>
  </r>
  <r>
    <d v="2024-04-16T00:00:00"/>
    <s v="TSAMO BEATRICE "/>
    <x v="1"/>
    <s v="203925779"/>
    <m/>
    <s v="PREPAID "/>
    <m/>
    <s v="699459054"/>
    <x v="6"/>
    <s v="REMPLACEMENT "/>
    <m/>
    <x v="4"/>
    <s v="MFOUAPON"/>
    <s v="16/04/2024"/>
    <s v="MFOUAPON"/>
    <s v="23026059"/>
    <m/>
    <m/>
    <m/>
    <m/>
    <m/>
    <s v="FAIT"/>
    <n v="1"/>
    <n v="1"/>
    <n v="0"/>
    <x v="0"/>
    <x v="6"/>
    <x v="0"/>
    <x v="0"/>
  </r>
  <r>
    <d v="2024-04-17T00:00:00"/>
    <s v="ISMAIL AICHATOU"/>
    <x v="0"/>
    <s v="203851253"/>
    <m/>
    <s v="PREPAID "/>
    <m/>
    <s v="680968133"/>
    <x v="6"/>
    <s v="REMPLACEMENT "/>
    <m/>
    <x v="4"/>
    <s v="SIELACHOM"/>
    <s v="16/04/2024"/>
    <s v="SIELACHOM"/>
    <s v="23026575"/>
    <m/>
    <m/>
    <m/>
    <m/>
    <m/>
    <s v="FAIT "/>
    <n v="1"/>
    <n v="1"/>
    <n v="0"/>
    <x v="2"/>
    <x v="7"/>
    <x v="0"/>
    <x v="0"/>
  </r>
  <r>
    <d v="2024-04-17T00:00:00"/>
    <s v="ERENINA OBODOFUALA "/>
    <x v="0"/>
    <s v="201725854"/>
    <m/>
    <s v="PREPAID "/>
    <m/>
    <s v="650468747"/>
    <x v="6"/>
    <s v="REMPLACEMENT "/>
    <m/>
    <x v="4"/>
    <s v="MFOUAPON"/>
    <s v="17/04/2024"/>
    <s v="MFOUAPON"/>
    <s v="201725824"/>
    <m/>
    <m/>
    <m/>
    <m/>
    <m/>
    <s v="FAIT "/>
    <n v="1"/>
    <n v="1"/>
    <n v="0"/>
    <x v="2"/>
    <x v="7"/>
    <x v="0"/>
    <x v="0"/>
  </r>
  <r>
    <d v="2024-04-17T00:00:00"/>
    <s v="OUMAROU SALY"/>
    <x v="0"/>
    <s v="204037294"/>
    <m/>
    <s v="PREPAID "/>
    <m/>
    <s v="699197028"/>
    <x v="6"/>
    <s v="REMPLACEMENT "/>
    <m/>
    <x v="4"/>
    <s v="MFOUAPON"/>
    <s v="17/04/2024"/>
    <s v="MFOUAPON"/>
    <s v="23026479"/>
    <m/>
    <m/>
    <m/>
    <m/>
    <m/>
    <s v="FAIT"/>
    <n v="1"/>
    <n v="1"/>
    <n v="0"/>
    <x v="2"/>
    <x v="7"/>
    <x v="0"/>
    <x v="0"/>
  </r>
  <r>
    <d v="2024-04-17T00:00:00"/>
    <s v="ATONFACK JEAN"/>
    <x v="0"/>
    <s v="200078332"/>
    <m/>
    <s v="POSTPAID "/>
    <m/>
    <s v="655859012"/>
    <x v="7"/>
    <s v="POSE COMPTEUR"/>
    <m/>
    <x v="4"/>
    <s v="SIELATCHOM"/>
    <s v="17/04/2024"/>
    <s v="SIELATCHOM"/>
    <s v="23026473"/>
    <m/>
    <m/>
    <m/>
    <m/>
    <m/>
    <s v="FAIT"/>
    <n v="1"/>
    <n v="1"/>
    <n v="0"/>
    <x v="2"/>
    <x v="7"/>
    <x v="0"/>
    <x v="0"/>
  </r>
  <r>
    <d v="2024-04-17T00:00:00"/>
    <s v="EKOLO NDOLO"/>
    <x v="2"/>
    <s v="203898276"/>
    <m/>
    <s v="PREPAID "/>
    <m/>
    <s v="699992173"/>
    <x v="6"/>
    <s v="REMPLACEMENT "/>
    <d v="2024-05-06T00:00:00"/>
    <x v="4"/>
    <s v="NZEMO"/>
    <d v="2024-04-17T00:00:00"/>
    <s v="NZEMO/FANWI"/>
    <s v="20319048"/>
    <m/>
    <m/>
    <m/>
    <m/>
    <m/>
    <s v="FAIT"/>
    <n v="1"/>
    <n v="1"/>
    <n v="0"/>
    <x v="2"/>
    <x v="7"/>
    <x v="0"/>
    <x v="0"/>
  </r>
  <r>
    <d v="2024-04-17T00:00:00"/>
    <s v="DELPHINE MME NTYAM "/>
    <x v="0"/>
    <s v="201940616"/>
    <m/>
    <s v="PREPAID "/>
    <m/>
    <m/>
    <x v="6"/>
    <s v="REMPLACEMENT "/>
    <m/>
    <x v="4"/>
    <s v="YAMGA "/>
    <d v="2024-04-17T00:00:00"/>
    <s v="YAMGA/PETGA "/>
    <s v="230108880"/>
    <m/>
    <m/>
    <m/>
    <m/>
    <m/>
    <s v="FAIT"/>
    <n v="1"/>
    <n v="1"/>
    <n v="0"/>
    <x v="2"/>
    <x v="7"/>
    <x v="0"/>
    <x v="0"/>
  </r>
  <r>
    <d v="2024-04-19T00:00:00"/>
    <s v="BERNARD "/>
    <x v="2"/>
    <s v="200063348"/>
    <m/>
    <m/>
    <m/>
    <s v="699686091"/>
    <x v="7"/>
    <s v="POSE COMPTEUR"/>
    <m/>
    <x v="4"/>
    <m/>
    <m/>
    <m/>
    <m/>
    <m/>
    <m/>
    <m/>
    <m/>
    <m/>
    <m/>
    <n v="1"/>
    <n v="0"/>
    <n v="1"/>
    <x v="4"/>
    <x v="8"/>
    <x v="0"/>
    <x v="0"/>
  </r>
  <r>
    <d v="2024-04-19T00:00:00"/>
    <s v="REIMEX SARL"/>
    <x v="2"/>
    <s v="203628789"/>
    <m/>
    <s v="POSTPAID"/>
    <m/>
    <s v="699985050"/>
    <x v="6"/>
    <s v="REMPLACEMENT "/>
    <d v="2024-05-06T00:00:00"/>
    <x v="4"/>
    <m/>
    <m/>
    <m/>
    <m/>
    <m/>
    <m/>
    <m/>
    <m/>
    <m/>
    <m/>
    <n v="1"/>
    <n v="0"/>
    <n v="1"/>
    <x v="4"/>
    <x v="8"/>
    <x v="0"/>
    <x v="0"/>
  </r>
  <r>
    <d v="2024-04-19T00:00:00"/>
    <s v="ZOMBOU ELISABETH"/>
    <x v="2"/>
    <s v="200068051"/>
    <m/>
    <s v="POSTPAID "/>
    <m/>
    <s v="694595520"/>
    <x v="6"/>
    <s v="REMPLACEMENT "/>
    <d v="2024-05-06T00:00:00"/>
    <x v="4"/>
    <m/>
    <m/>
    <m/>
    <m/>
    <m/>
    <m/>
    <m/>
    <m/>
    <m/>
    <m/>
    <n v="1"/>
    <n v="0"/>
    <n v="1"/>
    <x v="4"/>
    <x v="8"/>
    <x v="0"/>
    <x v="0"/>
  </r>
  <r>
    <d v="2024-04-19T00:00:00"/>
    <s v="NJOYA NDAM"/>
    <x v="2"/>
    <s v="203914735"/>
    <m/>
    <s v="PREPAID"/>
    <m/>
    <s v="693900463"/>
    <x v="6"/>
    <s v="REMPLACEMENT"/>
    <d v="2024-05-06T00:00:00"/>
    <x v="3"/>
    <s v="EWANE"/>
    <s v="23/04/2024"/>
    <s v="EWANE/EDIMO"/>
    <s v="0263008470357"/>
    <n v="0"/>
    <n v="10"/>
    <n v="15"/>
    <m/>
    <n v="1"/>
    <s v="FAIT "/>
    <n v="1"/>
    <n v="1"/>
    <n v="0"/>
    <x v="4"/>
    <x v="8"/>
    <x v="0"/>
    <x v="0"/>
  </r>
  <r>
    <d v="2024-04-19T00:00:00"/>
    <s v="ELIMBI ELISE"/>
    <x v="2"/>
    <s v="203953086"/>
    <m/>
    <s v="PREPAID "/>
    <m/>
    <s v="655005900"/>
    <x v="6"/>
    <s v="REMPLACEMENT "/>
    <d v="2024-04-23T00:00:00"/>
    <x v="4"/>
    <m/>
    <m/>
    <m/>
    <m/>
    <m/>
    <m/>
    <m/>
    <m/>
    <m/>
    <m/>
    <n v="1"/>
    <n v="0"/>
    <n v="1"/>
    <x v="4"/>
    <x v="8"/>
    <x v="0"/>
    <x v="0"/>
  </r>
  <r>
    <d v="2024-04-19T00:00:00"/>
    <s v="NGOBO ESSON"/>
    <x v="2"/>
    <s v="203483040"/>
    <m/>
    <s v="PREPAID"/>
    <m/>
    <s v="675743179"/>
    <x v="6"/>
    <s v="REMPLACEMENT"/>
    <d v="2024-04-30T00:00:00"/>
    <x v="4"/>
    <m/>
    <m/>
    <m/>
    <m/>
    <m/>
    <m/>
    <m/>
    <m/>
    <m/>
    <m/>
    <n v="1"/>
    <n v="0"/>
    <n v="1"/>
    <x v="4"/>
    <x v="8"/>
    <x v="0"/>
    <x v="0"/>
  </r>
  <r>
    <d v="2024-04-19T00:00:00"/>
    <s v="NCHANG SHIDRI"/>
    <x v="2"/>
    <s v="204045960"/>
    <m/>
    <s v="PREPAID "/>
    <m/>
    <s v="679399447"/>
    <x v="6"/>
    <s v="REMPLACEMENT "/>
    <m/>
    <x v="7"/>
    <s v="NFOUPON"/>
    <s v="22/04/2024"/>
    <s v="NFOUAPON/EWANE "/>
    <s v="0263008470373"/>
    <n v="0"/>
    <n v="10"/>
    <n v="30"/>
    <m/>
    <n v="1"/>
    <s v="FAIT"/>
    <n v="1"/>
    <n v="1"/>
    <n v="0"/>
    <x v="4"/>
    <x v="8"/>
    <x v="0"/>
    <x v="0"/>
  </r>
  <r>
    <d v="2024-04-19T00:00:00"/>
    <s v="ANIEKAM A"/>
    <x v="2"/>
    <s v="204005429"/>
    <m/>
    <s v="PREPAID "/>
    <m/>
    <s v="675370640"/>
    <x v="6"/>
    <s v="REMPLACEMENT "/>
    <m/>
    <x v="4"/>
    <m/>
    <m/>
    <m/>
    <m/>
    <m/>
    <m/>
    <m/>
    <m/>
    <m/>
    <m/>
    <n v="1"/>
    <n v="0"/>
    <n v="1"/>
    <x v="4"/>
    <x v="8"/>
    <x v="0"/>
    <x v="0"/>
  </r>
  <r>
    <d v="2024-04-19T00:00:00"/>
    <s v="TCHOKOTE MICODEME "/>
    <x v="0"/>
    <s v="200193200"/>
    <m/>
    <s v="PREPAID "/>
    <m/>
    <s v="693382342"/>
    <x v="0"/>
    <s v="REMPLACEMENT "/>
    <m/>
    <x v="13"/>
    <s v="SAMAGA "/>
    <s v="12/04/2024"/>
    <s v="SAMAGA/YANGO "/>
    <s v="0263008469102"/>
    <n v="176"/>
    <n v="10"/>
    <m/>
    <d v="2024-04-12T00:00:00"/>
    <n v="1"/>
    <s v="FAIT "/>
    <n v="1"/>
    <n v="1"/>
    <n v="0"/>
    <x v="4"/>
    <x v="8"/>
    <x v="0"/>
    <x v="0"/>
  </r>
  <r>
    <d v="2024-04-19T00:00:00"/>
    <s v="EMADE MONIQUE "/>
    <x v="2"/>
    <s v="203905605"/>
    <m/>
    <s v="PREPAID "/>
    <m/>
    <s v="670067838"/>
    <x v="6"/>
    <s v="REMPLACEMENT "/>
    <m/>
    <x v="7"/>
    <s v="NFOUPON"/>
    <s v="22/04/2024"/>
    <s v="NFOUAPON/EWANE "/>
    <s v="0263008470365"/>
    <n v="0"/>
    <n v="10"/>
    <n v="30"/>
    <m/>
    <n v="1"/>
    <s v="FAIT "/>
    <n v="1"/>
    <n v="1"/>
    <n v="0"/>
    <x v="4"/>
    <x v="8"/>
    <x v="0"/>
    <x v="0"/>
  </r>
  <r>
    <d v="2024-04-19T00:00:00"/>
    <s v="NGOKO MICHEL"/>
    <x v="2"/>
    <s v="204144961"/>
    <m/>
    <s v="PREPAID "/>
    <m/>
    <s v="680535979"/>
    <x v="6"/>
    <s v="REMPLACEMENT "/>
    <m/>
    <x v="3"/>
    <s v="EWANE "/>
    <s v="23/04/2024"/>
    <s v="EWANE/EDIMO"/>
    <s v="017900548901"/>
    <n v="0"/>
    <n v="10"/>
    <n v="15"/>
    <m/>
    <n v="1"/>
    <s v="FAIT"/>
    <n v="1"/>
    <n v="1"/>
    <n v="0"/>
    <x v="4"/>
    <x v="8"/>
    <x v="0"/>
    <x v="0"/>
  </r>
  <r>
    <d v="2024-04-19T00:00:00"/>
    <s v="NGOUMBIME YOUCHAWOU"/>
    <x v="1"/>
    <s v="204487476"/>
    <m/>
    <m/>
    <m/>
    <s v="691581212"/>
    <x v="8"/>
    <s v="POSE COMPTEUR "/>
    <m/>
    <x v="3"/>
    <s v="EWANE"/>
    <s v="23/04/2024"/>
    <s v="EWANE/EDIMO"/>
    <s v="2219017633"/>
    <n v="0"/>
    <n v="294"/>
    <m/>
    <m/>
    <n v="1"/>
    <s v="FAIT"/>
    <n v="1"/>
    <n v="1"/>
    <n v="0"/>
    <x v="4"/>
    <x v="8"/>
    <x v="0"/>
    <x v="0"/>
  </r>
  <r>
    <d v="2024-04-19T00:00:00"/>
    <s v="NAMADIS TRAVEL"/>
    <x v="0"/>
    <s v="203742241"/>
    <m/>
    <s v="PREPAID "/>
    <m/>
    <s v="676383935"/>
    <x v="6"/>
    <s v="REMPLACEMENT "/>
    <m/>
    <x v="1"/>
    <s v="EWANE"/>
    <d v="2024-04-23T00:00:00"/>
    <s v="EWANE/EDIMO"/>
    <s v="0263008470381"/>
    <n v="0"/>
    <n v="10"/>
    <n v="30"/>
    <m/>
    <n v="1"/>
    <s v="FAIT"/>
    <n v="1"/>
    <n v="1"/>
    <n v="0"/>
    <x v="4"/>
    <x v="8"/>
    <x v="0"/>
    <x v="0"/>
  </r>
  <r>
    <d v="2024-04-19T00:00:00"/>
    <s v="ETAKE DIVINE "/>
    <x v="1"/>
    <s v="204486450"/>
    <m/>
    <m/>
    <m/>
    <s v="699019161"/>
    <x v="8"/>
    <s v="POSE COMPTEUR "/>
    <m/>
    <x v="11"/>
    <s v="EWANE"/>
    <d v="2024-04-23T00:00:00"/>
    <s v="EWANE/EDIMO"/>
    <s v="23026581"/>
    <n v="0"/>
    <n v="0"/>
    <n v="0"/>
    <m/>
    <n v="1"/>
    <s v="FAIT "/>
    <n v="1"/>
    <n v="1"/>
    <n v="0"/>
    <x v="4"/>
    <x v="8"/>
    <x v="0"/>
    <x v="0"/>
  </r>
  <r>
    <d v="2024-04-19T00:00:00"/>
    <s v="OUMAROU NDJIDDA "/>
    <x v="2"/>
    <s v="203904538"/>
    <m/>
    <s v="PREPAID "/>
    <m/>
    <s v="696834076"/>
    <x v="6"/>
    <s v="REMPLACEMENT "/>
    <m/>
    <x v="7"/>
    <s v="EWANE"/>
    <d v="2024-04-23T00:00:00"/>
    <s v="EWANE/EDIMO"/>
    <s v="0263008470308"/>
    <n v="0"/>
    <n v="10"/>
    <n v="15"/>
    <m/>
    <n v="1"/>
    <s v="FAIT "/>
    <n v="1"/>
    <n v="1"/>
    <n v="0"/>
    <x v="4"/>
    <x v="8"/>
    <x v="0"/>
    <x v="0"/>
  </r>
  <r>
    <d v="2024-04-19T00:00:00"/>
    <s v="FARADJ HAMAT"/>
    <x v="2"/>
    <s v="201921847"/>
    <m/>
    <m/>
    <m/>
    <s v="698263747"/>
    <x v="9"/>
    <s v="POSE KIT "/>
    <m/>
    <x v="14"/>
    <s v="EWANE"/>
    <d v="2024-04-23T00:00:00"/>
    <s v="EWANE/EDIMO"/>
    <s v="221011035"/>
    <n v="0"/>
    <n v="1155"/>
    <n v="30"/>
    <m/>
    <n v="1"/>
    <s v="FAIT "/>
    <n v="1"/>
    <n v="1"/>
    <n v="0"/>
    <x v="4"/>
    <x v="8"/>
    <x v="0"/>
    <x v="0"/>
  </r>
  <r>
    <d v="2024-04-19T00:00:00"/>
    <s v="MANDENGUE PAUL MANGA"/>
    <x v="2"/>
    <s v="200062201"/>
    <m/>
    <s v="POSTPAID "/>
    <m/>
    <m/>
    <x v="0"/>
    <s v="REMPLACEMENT "/>
    <d v="2024-05-06T00:00:00"/>
    <x v="15"/>
    <s v="TATHIUM"/>
    <d v="2024-04-22T00:00:00"/>
    <s v="TATHIUM/TAKOUA"/>
    <s v="2219001969"/>
    <s v="ILISIBLE "/>
    <n v="4864"/>
    <n v="60"/>
    <m/>
    <n v="1"/>
    <s v="FAIT"/>
    <n v="1"/>
    <n v="1"/>
    <n v="0"/>
    <x v="4"/>
    <x v="8"/>
    <x v="0"/>
    <x v="0"/>
  </r>
  <r>
    <d v="2024-04-22T00:00:00"/>
    <s v="CHRISTIAN NWAIGWE"/>
    <x v="1"/>
    <s v="203774576"/>
    <m/>
    <s v="PREPAID "/>
    <m/>
    <s v="677990506"/>
    <x v="1"/>
    <s v="REMPLACEMENT "/>
    <d v="2024-05-06T00:00:00"/>
    <x v="7"/>
    <s v="NFOUAPON "/>
    <s v="22/04/2024"/>
    <s v="NFOUAPON/EWANE "/>
    <s v="0263008470597"/>
    <s v="BRULE "/>
    <n v="10"/>
    <n v="30"/>
    <m/>
    <n v="1"/>
    <s v="FAIT"/>
    <n v="1"/>
    <n v="1"/>
    <n v="0"/>
    <x v="1"/>
    <x v="9"/>
    <x v="0"/>
    <x v="0"/>
  </r>
  <r>
    <d v="2024-04-22T00:00:00"/>
    <s v="JOSEPH NGNIE "/>
    <x v="0"/>
    <s v="203675671"/>
    <m/>
    <s v="PREPAID "/>
    <m/>
    <s v="691163293"/>
    <x v="1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DOMGMO KENFACK"/>
    <x v="0"/>
    <s v="204365764"/>
    <m/>
    <s v="PREPAID "/>
    <m/>
    <s v="656846402"/>
    <x v="1"/>
    <s v="REMPLACEMENT "/>
    <m/>
    <x v="7"/>
    <s v="YOUMCHAKOU"/>
    <s v="26/04/2024"/>
    <s v="YOUMCHAKOU"/>
    <s v="0179000783813"/>
    <n v="0"/>
    <n v="10"/>
    <n v="60"/>
    <m/>
    <n v="1"/>
    <s v="FAIT "/>
    <n v="1"/>
    <n v="1"/>
    <n v="0"/>
    <x v="1"/>
    <x v="9"/>
    <x v="0"/>
    <x v="0"/>
  </r>
  <r>
    <d v="2024-04-22T00:00:00"/>
    <s v="JUDE ISIAYA CHUKWUDI "/>
    <x v="0"/>
    <s v="204052924"/>
    <m/>
    <s v="PREPAID "/>
    <m/>
    <s v="677301137"/>
    <x v="1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TATSING TATSING "/>
    <x v="0"/>
    <s v="200189575"/>
    <m/>
    <s v="POSTPAID "/>
    <m/>
    <s v="683668951"/>
    <x v="1"/>
    <s v="REMPLACEMENT "/>
    <d v="2024-05-08T00:00:00"/>
    <x v="4"/>
    <m/>
    <m/>
    <m/>
    <m/>
    <m/>
    <m/>
    <m/>
    <m/>
    <m/>
    <m/>
    <n v="1"/>
    <n v="0"/>
    <n v="1"/>
    <x v="1"/>
    <x v="9"/>
    <x v="0"/>
    <x v="0"/>
  </r>
  <r>
    <d v="2024-04-22T00:00:00"/>
    <s v="KOUPTOUDJI UIGNANG "/>
    <x v="0"/>
    <s v="200187745"/>
    <m/>
    <s v="POSTPAID "/>
    <m/>
    <s v="677407348"/>
    <x v="1"/>
    <s v="REMPLACEMENT "/>
    <d v="2024-05-07T00:00:00"/>
    <x v="4"/>
    <m/>
    <m/>
    <m/>
    <m/>
    <m/>
    <m/>
    <m/>
    <m/>
    <m/>
    <m/>
    <n v="1"/>
    <n v="0"/>
    <n v="1"/>
    <x v="1"/>
    <x v="9"/>
    <x v="0"/>
    <x v="0"/>
  </r>
  <r>
    <d v="2024-04-22T00:00:00"/>
    <s v="PATISTES UNION "/>
    <x v="0"/>
    <s v="200189309"/>
    <m/>
    <s v="POSTPAID "/>
    <m/>
    <s v="699962672"/>
    <x v="6"/>
    <s v="REMPLACEMENT "/>
    <d v="2024-05-07T00:00:00"/>
    <x v="4"/>
    <m/>
    <m/>
    <m/>
    <m/>
    <m/>
    <m/>
    <m/>
    <m/>
    <m/>
    <m/>
    <n v="1"/>
    <n v="0"/>
    <n v="1"/>
    <x v="1"/>
    <x v="9"/>
    <x v="0"/>
    <x v="0"/>
  </r>
  <r>
    <d v="2024-04-22T00:00:00"/>
    <s v="EUPHRASIE NKANDA "/>
    <x v="0"/>
    <s v="200191355"/>
    <m/>
    <s v="POSTPAID "/>
    <m/>
    <s v="699930327"/>
    <x v="1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MARCHE MBIEDU"/>
    <x v="0"/>
    <s v="200188430"/>
    <m/>
    <s v="POSTPAID "/>
    <m/>
    <s v="677642259"/>
    <x v="1"/>
    <s v="REMPLACEMENT "/>
    <d v="2024-04-25T00:00:00"/>
    <x v="4"/>
    <m/>
    <m/>
    <m/>
    <m/>
    <m/>
    <m/>
    <m/>
    <m/>
    <m/>
    <m/>
    <n v="1"/>
    <n v="0"/>
    <n v="1"/>
    <x v="1"/>
    <x v="9"/>
    <x v="0"/>
    <x v="0"/>
  </r>
  <r>
    <d v="2024-04-22T00:00:00"/>
    <s v="ALIANE FRIDE "/>
    <x v="0"/>
    <s v="204147673"/>
    <m/>
    <s v="POSTPAID "/>
    <m/>
    <s v="696402969"/>
    <x v="1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CELESTINE MOULION"/>
    <x v="0"/>
    <s v="204165008"/>
    <m/>
    <s v="POSTPAID "/>
    <m/>
    <s v="699087022"/>
    <x v="1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ESTHER KOUMASSOCK"/>
    <x v="0"/>
    <s v="204435626"/>
    <m/>
    <s v="POSTPAID "/>
    <m/>
    <s v="670642029"/>
    <x v="3"/>
    <s v="REMPLACEMENT "/>
    <m/>
    <x v="7"/>
    <s v="NFOUAPON "/>
    <s v="10/05/2024"/>
    <s v="NFOUAPON/MOSSA "/>
    <s v="0263008470449"/>
    <n v="0"/>
    <n v="10"/>
    <n v="30"/>
    <m/>
    <n v="1"/>
    <s v="FAIT"/>
    <n v="1"/>
    <n v="1"/>
    <n v="0"/>
    <x v="1"/>
    <x v="9"/>
    <x v="0"/>
    <x v="0"/>
  </r>
  <r>
    <d v="2024-04-22T00:00:00"/>
    <s v="SIMON MOUTSINA "/>
    <x v="0"/>
    <s v="203890440"/>
    <m/>
    <s v="PREPAID "/>
    <m/>
    <s v="658071062"/>
    <x v="3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ASSOUMANE ELH "/>
    <x v="0"/>
    <s v="203933589"/>
    <m/>
    <s v="PREPAID "/>
    <m/>
    <m/>
    <x v="3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UBA ONYEKACHI"/>
    <x v="0"/>
    <s v="204403852"/>
    <m/>
    <s v="PREPAID "/>
    <m/>
    <s v="677520967"/>
    <x v="3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LIONEL KAMGA "/>
    <x v="0"/>
    <s v="203910616"/>
    <m/>
    <s v="PREPAID "/>
    <m/>
    <s v="693359379"/>
    <x v="3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CHRISTUS ONYIRIEDE 1"/>
    <x v="0"/>
    <s v="203943102"/>
    <m/>
    <s v="PREPAID "/>
    <m/>
    <s v="677501619"/>
    <x v="3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NGASSSA APPOLONAIRE "/>
    <x v="0"/>
    <s v="203894701"/>
    <m/>
    <s v="PREPAID "/>
    <m/>
    <s v="677750657"/>
    <x v="3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MOUSTAPHA MOHAMADOU "/>
    <x v="0"/>
    <s v="200195175"/>
    <m/>
    <s v="PREPAID "/>
    <m/>
    <s v="699997050"/>
    <x v="3"/>
    <s v="REMPLACEMENT "/>
    <d v="2024-05-06T00:00:00"/>
    <x v="4"/>
    <m/>
    <m/>
    <m/>
    <m/>
    <m/>
    <m/>
    <m/>
    <m/>
    <m/>
    <m/>
    <n v="1"/>
    <n v="0"/>
    <n v="1"/>
    <x v="1"/>
    <x v="9"/>
    <x v="0"/>
    <x v="0"/>
  </r>
  <r>
    <d v="2024-04-22T00:00:00"/>
    <s v="TAGNE POKA "/>
    <x v="0"/>
    <s v="203735742"/>
    <m/>
    <s v="PREPAID "/>
    <m/>
    <s v="672067171"/>
    <x v="3"/>
    <s v="REMPLACEMENT "/>
    <d v="2024-04-17T00:00:00"/>
    <x v="4"/>
    <m/>
    <m/>
    <m/>
    <m/>
    <m/>
    <m/>
    <m/>
    <m/>
    <m/>
    <m/>
    <n v="1"/>
    <n v="0"/>
    <n v="1"/>
    <x v="1"/>
    <x v="9"/>
    <x v="0"/>
    <x v="0"/>
  </r>
  <r>
    <d v="2024-04-22T00:00:00"/>
    <s v="MOHAMAT ALADJI "/>
    <x v="0"/>
    <s v="200193360"/>
    <m/>
    <s v="PREPAID "/>
    <m/>
    <s v="677734833"/>
    <x v="3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CLOTILDE NEUMBEU "/>
    <x v="0"/>
    <s v="204002895"/>
    <m/>
    <s v="PREPAID "/>
    <m/>
    <s v="650669825"/>
    <x v="3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CHRISTIOFNUS CHIDO "/>
    <x v="0"/>
    <s v="203001310"/>
    <m/>
    <s v="POSTPAID "/>
    <m/>
    <s v="655440569"/>
    <x v="3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SALAHATOU"/>
    <x v="0"/>
    <s v="200197303"/>
    <m/>
    <s v="POSTPIAD "/>
    <m/>
    <s v="699979325"/>
    <x v="1"/>
    <s v="REMPLACEMENT "/>
    <m/>
    <x v="4"/>
    <m/>
    <m/>
    <m/>
    <m/>
    <m/>
    <m/>
    <m/>
    <m/>
    <m/>
    <m/>
    <n v="1"/>
    <n v="0"/>
    <n v="1"/>
    <x v="1"/>
    <x v="9"/>
    <x v="0"/>
    <x v="0"/>
  </r>
  <r>
    <d v="2024-04-22T00:00:00"/>
    <s v="MOHAAMED MOCTAR "/>
    <x v="0"/>
    <s v="203891408"/>
    <m/>
    <s v="PREPAID "/>
    <m/>
    <m/>
    <x v="10"/>
    <m/>
    <d v="2024-04-17T00:00:00"/>
    <x v="4"/>
    <m/>
    <m/>
    <m/>
    <m/>
    <m/>
    <m/>
    <m/>
    <m/>
    <m/>
    <m/>
    <n v="1"/>
    <n v="0"/>
    <n v="1"/>
    <x v="1"/>
    <x v="9"/>
    <x v="0"/>
    <x v="0"/>
  </r>
  <r>
    <d v="2024-04-22T00:00:00"/>
    <s v="STE MAHIMA SARL"/>
    <x v="1"/>
    <s v="204487439"/>
    <m/>
    <m/>
    <m/>
    <s v="676633567"/>
    <x v="11"/>
    <s v="POSE COMPTEUR"/>
    <m/>
    <x v="4"/>
    <m/>
    <m/>
    <m/>
    <m/>
    <m/>
    <m/>
    <m/>
    <m/>
    <m/>
    <m/>
    <n v="1"/>
    <n v="0"/>
    <n v="1"/>
    <x v="1"/>
    <x v="9"/>
    <x v="0"/>
    <x v="0"/>
  </r>
  <r>
    <d v="2024-04-22T00:00:00"/>
    <s v="MARTHE CLAIRE "/>
    <x v="1"/>
    <s v="204362164"/>
    <m/>
    <s v="PREPAID "/>
    <m/>
    <s v="677382837"/>
    <x v="0"/>
    <s v="REMPLACEMENT "/>
    <d v="2024-04-17T00:00:00"/>
    <x v="16"/>
    <s v="EWANE "/>
    <s v="24/04/2024"/>
    <s v="EWANE/EDIMO"/>
    <s v="0263008470456"/>
    <n v="0"/>
    <n v="10"/>
    <n v="20"/>
    <m/>
    <n v="1"/>
    <s v="FAIT"/>
    <n v="1"/>
    <n v="1"/>
    <n v="0"/>
    <x v="1"/>
    <x v="9"/>
    <x v="0"/>
    <x v="0"/>
  </r>
  <r>
    <d v="2024-04-22T00:00:00"/>
    <s v="KINGSLEY AMECHI"/>
    <x v="2"/>
    <s v="203900649"/>
    <m/>
    <s v="PREPAID "/>
    <m/>
    <s v="683008989"/>
    <x v="0"/>
    <s v="REMPLACEMENT "/>
    <m/>
    <x v="1"/>
    <s v="YOUMCHAKOU"/>
    <s v="24/04/2024"/>
    <s v="YOUMCHAKOU"/>
    <s v="0263008470316"/>
    <n v="0"/>
    <n v="10"/>
    <n v="30"/>
    <m/>
    <n v="1"/>
    <s v="FAIT"/>
    <n v="1"/>
    <n v="1"/>
    <n v="0"/>
    <x v="1"/>
    <x v="9"/>
    <x v="0"/>
    <x v="0"/>
  </r>
  <r>
    <d v="2024-04-22T00:00:00"/>
    <s v="TCHATCHOUANG GUSTAVE "/>
    <x v="2"/>
    <s v="202014326"/>
    <m/>
    <s v="PREPAID "/>
    <m/>
    <s v="679991284"/>
    <x v="0"/>
    <s v="REMPLACEMENT "/>
    <d v="2024-04-17T00:00:00"/>
    <x v="7"/>
    <s v="NFOUAPON "/>
    <d v="2024-04-24T00:00:00"/>
    <s v="NFOUAPON/MOUSSA "/>
    <s v="0263008470332"/>
    <n v="0"/>
    <n v="10"/>
    <n v="30"/>
    <m/>
    <n v="1"/>
    <s v="FAIT "/>
    <n v="1"/>
    <n v="1"/>
    <n v="0"/>
    <x v="1"/>
    <x v="9"/>
    <x v="0"/>
    <x v="0"/>
  </r>
  <r>
    <d v="2024-04-23T00:00:00"/>
    <s v="TCHATCHOUANG GUSTAVE "/>
    <x v="2"/>
    <s v="202017329"/>
    <m/>
    <s v="PREPAID "/>
    <m/>
    <s v="679991284"/>
    <x v="0"/>
    <s v="REMPLACEMENT "/>
    <m/>
    <x v="14"/>
    <s v="NFOUAPON "/>
    <d v="2024-04-24T00:00:00"/>
    <s v="NFOUAPON/MOUSSA "/>
    <s v="0263008470571"/>
    <n v="0"/>
    <n v="10"/>
    <n v="30"/>
    <m/>
    <n v="1"/>
    <s v="FAIT"/>
    <n v="1"/>
    <n v="1"/>
    <n v="0"/>
    <x v="0"/>
    <x v="10"/>
    <x v="0"/>
    <x v="0"/>
  </r>
  <r>
    <d v="2024-04-24T00:00:00"/>
    <s v="KAKMENI EPSE NGOUNOU"/>
    <x v="0"/>
    <s v="203918857"/>
    <m/>
    <s v="PREPAID "/>
    <m/>
    <s v="699380664"/>
    <x v="0"/>
    <s v="REMPLACEMENT "/>
    <d v="2024-04-17T00:00:00"/>
    <x v="3"/>
    <s v="EWANE "/>
    <s v="10/05/2024"/>
    <s v="EWANE/EDIMO"/>
    <s v="0263008469441"/>
    <n v="0"/>
    <n v="10"/>
    <n v="10"/>
    <m/>
    <n v="1"/>
    <s v="FAIT"/>
    <n v="1"/>
    <n v="1"/>
    <n v="0"/>
    <x v="2"/>
    <x v="11"/>
    <x v="0"/>
    <x v="0"/>
  </r>
  <r>
    <d v="2024-04-24T00:00:00"/>
    <s v="DOUALA WENG"/>
    <x v="2"/>
    <s v="203905985"/>
    <m/>
    <s v="PREPAID "/>
    <m/>
    <s v="690745803"/>
    <x v="0"/>
    <s v="REMPLACEMENT "/>
    <d v="2024-04-17T00:00:00"/>
    <x v="7"/>
    <s v="NFOUAPON "/>
    <d v="2024-04-24T00:00:00"/>
    <s v="NFOUAPON/MOUSSA "/>
    <s v="0269008470464"/>
    <n v="0"/>
    <n v="10"/>
    <n v="30"/>
    <m/>
    <n v="1"/>
    <s v="FAIT "/>
    <n v="1"/>
    <n v="1"/>
    <n v="0"/>
    <x v="2"/>
    <x v="11"/>
    <x v="0"/>
    <x v="0"/>
  </r>
  <r>
    <d v="2024-04-25T00:00:00"/>
    <s v="ANDRIENNE TCHOKOTE"/>
    <x v="0"/>
    <s v="203921026"/>
    <m/>
    <s v="PREPAID "/>
    <m/>
    <s v="699380664"/>
    <x v="0"/>
    <s v="REMPLACEMENT "/>
    <d v="2024-04-17T00:00:00"/>
    <x v="4"/>
    <m/>
    <m/>
    <m/>
    <m/>
    <m/>
    <m/>
    <m/>
    <m/>
    <m/>
    <m/>
    <n v="1"/>
    <n v="0"/>
    <n v="1"/>
    <x v="3"/>
    <x v="12"/>
    <x v="0"/>
    <x v="0"/>
  </r>
  <r>
    <d v="2024-04-25T00:00:00"/>
    <s v="DAVID JIOKENG "/>
    <x v="0"/>
    <s v="200188200"/>
    <m/>
    <s v="PREPAID "/>
    <m/>
    <s v="696211981"/>
    <x v="0"/>
    <s v="REMPLACEMENT "/>
    <d v="2024-04-17T00:00:00"/>
    <x v="14"/>
    <s v="NFOUAPON "/>
    <d v="2024-04-24T00:00:00"/>
    <s v="NFOUAPON/MOUSSA "/>
    <s v="23026578"/>
    <n v="0"/>
    <n v="0"/>
    <n v="60"/>
    <m/>
    <n v="1"/>
    <s v="FAIT "/>
    <n v="1"/>
    <n v="1"/>
    <n v="0"/>
    <x v="3"/>
    <x v="12"/>
    <x v="0"/>
    <x v="0"/>
  </r>
  <r>
    <d v="2024-04-25T00:00:00"/>
    <s v="SADIO NOUHA"/>
    <x v="2"/>
    <s v="201977711"/>
    <m/>
    <s v="PREPAID "/>
    <m/>
    <s v="693125327"/>
    <x v="0"/>
    <s v="REMPLACEMENT "/>
    <m/>
    <x v="11"/>
    <s v="MOUNGUI "/>
    <s v="25/04/2024"/>
    <s v="MOUNGUI/DJOYIM"/>
    <s v="2218103124"/>
    <n v="739126"/>
    <n v="3517"/>
    <m/>
    <m/>
    <n v="1"/>
    <s v="FAIT "/>
    <n v="1"/>
    <n v="1"/>
    <n v="0"/>
    <x v="3"/>
    <x v="12"/>
    <x v="0"/>
    <x v="0"/>
  </r>
  <r>
    <d v="2024-04-25T00:00:00"/>
    <s v="MATAMBA JACOB "/>
    <x v="2"/>
    <s v="203641962"/>
    <m/>
    <s v="VOLE "/>
    <m/>
    <s v="693125327"/>
    <x v="9"/>
    <s v="POSE COMPTEUR "/>
    <m/>
    <x v="11"/>
    <s v="MOUNGUI "/>
    <s v="25/04/2024"/>
    <s v="EWANE/EDIMO"/>
    <s v="0179000741498"/>
    <n v="0"/>
    <n v="10"/>
    <n v="10"/>
    <m/>
    <n v="1"/>
    <s v="FAIT "/>
    <n v="1"/>
    <n v="1"/>
    <n v="0"/>
    <x v="3"/>
    <x v="12"/>
    <x v="0"/>
    <x v="0"/>
  </r>
  <r>
    <d v="2024-04-25T00:00:00"/>
    <s v="NDOME EBOLLO "/>
    <x v="0"/>
    <s v="200190609"/>
    <m/>
    <s v="PREPAID "/>
    <m/>
    <m/>
    <x v="1"/>
    <s v="REMPLACEMENT "/>
    <m/>
    <x v="4"/>
    <s v="YAMGA "/>
    <d v="2024-04-25T00:00:00"/>
    <s v="YANGA /PETGA "/>
    <s v="23019304"/>
    <s v="BRULE "/>
    <n v="0"/>
    <m/>
    <m/>
    <n v="1"/>
    <s v="FAIT "/>
    <n v="1"/>
    <n v="1"/>
    <n v="0"/>
    <x v="3"/>
    <x v="12"/>
    <x v="0"/>
    <x v="0"/>
  </r>
  <r>
    <d v="2024-04-26T00:00:00"/>
    <s v="MUNJONG NJEKO "/>
    <x v="1"/>
    <s v="203962979"/>
    <m/>
    <s v="PREPAID "/>
    <m/>
    <s v="677483050"/>
    <x v="0"/>
    <s v="REMPLACEMENT "/>
    <d v="2024-04-17T00:00:00"/>
    <x v="4"/>
    <m/>
    <m/>
    <m/>
    <m/>
    <m/>
    <m/>
    <m/>
    <m/>
    <m/>
    <m/>
    <n v="1"/>
    <n v="0"/>
    <n v="1"/>
    <x v="4"/>
    <x v="13"/>
    <x v="0"/>
    <x v="0"/>
  </r>
  <r>
    <d v="2024-04-26T00:00:00"/>
    <s v="KAUTE JEAN PAUL "/>
    <x v="2"/>
    <s v="202153535"/>
    <m/>
    <s v="PREPAID "/>
    <m/>
    <s v="696125004"/>
    <x v="0"/>
    <s v="REMPLACEMENT "/>
    <m/>
    <x v="4"/>
    <s v="DJOYIM"/>
    <s v="26/04/2024"/>
    <s v="DJOYIM/ADJIM"/>
    <s v="0263008470431"/>
    <n v="0"/>
    <n v="10"/>
    <n v="15"/>
    <m/>
    <n v="1"/>
    <s v="FAIT "/>
    <n v="1"/>
    <n v="1"/>
    <n v="0"/>
    <x v="4"/>
    <x v="13"/>
    <x v="0"/>
    <x v="0"/>
  </r>
  <r>
    <d v="2024-04-27T00:00:00"/>
    <s v="PIERRE SIMON"/>
    <x v="0"/>
    <s v="204328778"/>
    <m/>
    <s v="POSTPAID "/>
    <m/>
    <s v="690633484"/>
    <x v="0"/>
    <s v="REMPLACEMENT "/>
    <m/>
    <x v="3"/>
    <s v="EWANE "/>
    <d v="2024-05-02T00:00:00"/>
    <s v="EWANE/EDIMO"/>
    <s v="0263008470589"/>
    <n v="1149"/>
    <n v="10"/>
    <n v="15"/>
    <m/>
    <n v="1"/>
    <s v="FAIT "/>
    <n v="1"/>
    <n v="1"/>
    <n v="0"/>
    <x v="5"/>
    <x v="14"/>
    <x v="0"/>
    <x v="0"/>
  </r>
  <r>
    <d v="2024-04-28T00:00:00"/>
    <s v="RMIA DOM CDT"/>
    <x v="2"/>
    <s v="200066033"/>
    <m/>
    <s v="POSTPAID "/>
    <m/>
    <m/>
    <x v="1"/>
    <s v="REMPLACEMENT "/>
    <m/>
    <x v="3"/>
    <s v="EWANE "/>
    <s v="28/04/2024"/>
    <s v="EWANE/EDIMO"/>
    <s v="2218120514"/>
    <s v="BRULE "/>
    <n v="16650"/>
    <m/>
    <m/>
    <n v="1"/>
    <s v="FAIT "/>
    <n v="1"/>
    <n v="1"/>
    <n v="0"/>
    <x v="6"/>
    <x v="15"/>
    <x v="0"/>
    <x v="0"/>
  </r>
  <r>
    <d v="2024-04-30T00:00:00"/>
    <s v="NGADJEU JEAN PIERRE "/>
    <x v="2"/>
    <s v="201741396"/>
    <m/>
    <s v="PREPAID  "/>
    <m/>
    <s v="691801144"/>
    <x v="0"/>
    <s v="REMPLACEMENT "/>
    <m/>
    <x v="7"/>
    <s v="NFOUAPON "/>
    <s v="30/04/2024"/>
    <s v="NFOUAPON/MOUSSA"/>
    <s v="0263008470613"/>
    <n v="0"/>
    <n v="10"/>
    <n v="30"/>
    <m/>
    <n v="1"/>
    <s v="FAIT "/>
    <n v="1"/>
    <n v="1"/>
    <n v="0"/>
    <x v="0"/>
    <x v="16"/>
    <x v="0"/>
    <x v="0"/>
  </r>
  <r>
    <d v="2024-04-30T00:00:00"/>
    <s v="MELA BAISSA "/>
    <x v="0"/>
    <s v="203963019"/>
    <m/>
    <s v="PREPAID "/>
    <m/>
    <s v="693804636"/>
    <x v="0"/>
    <s v="REMPLACEMENT "/>
    <m/>
    <x v="14"/>
    <s v="MOUNGUI "/>
    <d v="2024-04-30T00:00:00"/>
    <s v="MOUNGUI/DJOYIM"/>
    <s v="0263008470415"/>
    <n v="0"/>
    <n v="10"/>
    <n v="15"/>
    <m/>
    <n v="1"/>
    <s v="FAIT "/>
    <n v="1"/>
    <n v="1"/>
    <n v="0"/>
    <x v="0"/>
    <x v="16"/>
    <x v="0"/>
    <x v="0"/>
  </r>
  <r>
    <d v="2024-04-30T00:00:00"/>
    <s v="CHRISTU ONYIRIDE "/>
    <x v="0"/>
    <s v="203943102"/>
    <m/>
    <s v="PREPAID "/>
    <m/>
    <s v="650247531"/>
    <x v="0"/>
    <s v="REMPLACEMENT "/>
    <m/>
    <x v="7"/>
    <s v="NFOUAPON "/>
    <s v="30/04/2024"/>
    <s v="NFOUAPON/MOUSSA"/>
    <s v="0263008470324"/>
    <n v="0"/>
    <n v="10"/>
    <n v="30"/>
    <m/>
    <n v="1"/>
    <s v="FAIT "/>
    <n v="1"/>
    <n v="1"/>
    <n v="0"/>
    <x v="0"/>
    <x v="16"/>
    <x v="0"/>
    <x v="0"/>
  </r>
  <r>
    <d v="2024-04-30T00:00:00"/>
    <s v="MAVOULA ANNETTE "/>
    <x v="2"/>
    <s v="203911516"/>
    <m/>
    <s v="PREPAID "/>
    <m/>
    <s v="670951837"/>
    <x v="0"/>
    <s v="REMPLACEMENT "/>
    <m/>
    <x v="3"/>
    <s v="EWANE "/>
    <d v="2024-04-30T00:00:00"/>
    <s v="EWANE/EDIMO"/>
    <s v="0263008470076"/>
    <n v="0"/>
    <n v="10"/>
    <n v="15"/>
    <m/>
    <n v="1"/>
    <s v="FAIT "/>
    <n v="1"/>
    <n v="1"/>
    <n v="0"/>
    <x v="0"/>
    <x v="16"/>
    <x v="0"/>
    <x v="0"/>
  </r>
  <r>
    <d v="2024-05-02T00:00:00"/>
    <s v="JEAN TAKOULOU "/>
    <x v="0"/>
    <s v="204171146"/>
    <m/>
    <s v="PREPAID "/>
    <m/>
    <s v="677643542"/>
    <x v="0"/>
    <s v="REMPLACEMENT "/>
    <d v="2024-04-17T00:00:00"/>
    <x v="3"/>
    <s v="EWANE "/>
    <s v="02/05/2024"/>
    <s v="EWANE/EDIMO"/>
    <s v="0179000754921"/>
    <n v="0"/>
    <n v="10"/>
    <n v="60"/>
    <m/>
    <n v="1"/>
    <s v="FAIT "/>
    <n v="1"/>
    <n v="1"/>
    <n v="0"/>
    <x v="3"/>
    <x v="0"/>
    <x v="1"/>
    <x v="0"/>
  </r>
  <r>
    <d v="2024-05-02T00:00:00"/>
    <s v="CENTRE DE MISSION CHRIST"/>
    <x v="0"/>
    <s v="203750939"/>
    <m/>
    <s v="PREPAID "/>
    <m/>
    <s v="696702554"/>
    <x v="0"/>
    <s v="REMPLACEMENT "/>
    <m/>
    <x v="3"/>
    <s v="EWANE "/>
    <d v="2024-05-02T00:00:00"/>
    <s v="EWANE/EDIMO"/>
    <s v="0263008470589"/>
    <n v="0"/>
    <n v="10"/>
    <n v="30"/>
    <m/>
    <n v="1"/>
    <s v="FAIT "/>
    <n v="1"/>
    <n v="1"/>
    <n v="0"/>
    <x v="3"/>
    <x v="0"/>
    <x v="1"/>
    <x v="0"/>
  </r>
  <r>
    <d v="2024-05-06T00:00:00"/>
    <s v="PAULINE EZEONU NGOZO"/>
    <x v="0"/>
    <s v="204459683"/>
    <m/>
    <s v="PREPAID"/>
    <m/>
    <s v="672464711"/>
    <x v="12"/>
    <s v="POSE LE DISTRIBUTEUR "/>
    <d v="2024-04-17T00:00:00"/>
    <x v="3"/>
    <s v="EWANE "/>
    <m/>
    <s v="EWANE/EDIMO"/>
    <m/>
    <m/>
    <m/>
    <m/>
    <m/>
    <m/>
    <m/>
    <n v="1"/>
    <n v="0"/>
    <n v="1"/>
    <x v="1"/>
    <x v="17"/>
    <x v="1"/>
    <x v="0"/>
  </r>
  <r>
    <d v="2024-05-06T00:00:00"/>
    <s v="YAYA ORI "/>
    <x v="0"/>
    <s v="203810252"/>
    <m/>
    <s v="POSTPAID "/>
    <m/>
    <s v="699411574"/>
    <x v="1"/>
    <s v="REMPLACEMENT "/>
    <d v="2024-04-17T00:00:00"/>
    <x v="1"/>
    <s v="NZENMO"/>
    <s v="08/05/2024"/>
    <s v="NZENMO/FANWI"/>
    <s v="2218122621"/>
    <n v="3089"/>
    <n v="2066"/>
    <n v="10"/>
    <m/>
    <n v="1"/>
    <s v="FAIT"/>
    <n v="1"/>
    <n v="1"/>
    <n v="0"/>
    <x v="1"/>
    <x v="17"/>
    <x v="1"/>
    <x v="0"/>
  </r>
  <r>
    <d v="2024-05-07T00:00:00"/>
    <s v="KAMENI VERONIQUE "/>
    <x v="0"/>
    <s v="203918857"/>
    <m/>
    <s v="PREPAID "/>
    <m/>
    <s v="699380664"/>
    <x v="0"/>
    <s v="REMPLACEMENT "/>
    <d v="2024-04-17T00:00:00"/>
    <x v="4"/>
    <m/>
    <m/>
    <m/>
    <m/>
    <m/>
    <m/>
    <m/>
    <m/>
    <m/>
    <m/>
    <n v="1"/>
    <n v="0"/>
    <n v="1"/>
    <x v="0"/>
    <x v="18"/>
    <x v="1"/>
    <x v="0"/>
  </r>
  <r>
    <d v="2024-05-07T00:00:00"/>
    <s v="IBRAHIM MOUSSA "/>
    <x v="1"/>
    <s v="204482523"/>
    <m/>
    <s v="PREPAID "/>
    <m/>
    <s v="694655965"/>
    <x v="2"/>
    <s v="POSE DISTRIBUTEUR "/>
    <d v="2024-04-17T00:00:00"/>
    <x v="4"/>
    <m/>
    <m/>
    <m/>
    <m/>
    <m/>
    <m/>
    <m/>
    <m/>
    <m/>
    <m/>
    <n v="1"/>
    <n v="0"/>
    <n v="1"/>
    <x v="0"/>
    <x v="18"/>
    <x v="1"/>
    <x v="0"/>
  </r>
  <r>
    <d v="2024-05-07T00:00:00"/>
    <s v="BEBITEYE EPSE NOETZEL"/>
    <x v="0"/>
    <s v="204481380"/>
    <m/>
    <s v="PREPAID "/>
    <m/>
    <s v="699346723"/>
    <x v="2"/>
    <s v="POSE DISTRIBUTEUR "/>
    <d v="2024-04-17T00:00:00"/>
    <x v="4"/>
    <s v="EVEH"/>
    <s v="08/05/2024"/>
    <s v="EVEH/MOUMENI"/>
    <s v="37272531288"/>
    <m/>
    <m/>
    <m/>
    <m/>
    <n v="1"/>
    <s v="FAIT"/>
    <n v="1"/>
    <n v="1"/>
    <n v="0"/>
    <x v="0"/>
    <x v="18"/>
    <x v="1"/>
    <x v="0"/>
  </r>
  <r>
    <d v="2024-05-07T00:00:00"/>
    <s v="IYALE JOSEPHINE EPSE BELLO"/>
    <x v="0"/>
    <s v="204409222"/>
    <m/>
    <s v="PREPAID "/>
    <m/>
    <s v="657617906"/>
    <x v="2"/>
    <s v="POSE DISTRIBUTEUR "/>
    <d v="2024-04-17T00:00:00"/>
    <x v="4"/>
    <s v="EVEH"/>
    <s v="08/05/2024"/>
    <s v="EVEH/MOUMENI"/>
    <s v="37246203667"/>
    <m/>
    <m/>
    <m/>
    <m/>
    <n v="1"/>
    <s v="FAIT"/>
    <n v="1"/>
    <n v="1"/>
    <n v="0"/>
    <x v="0"/>
    <x v="18"/>
    <x v="1"/>
    <x v="0"/>
  </r>
  <r>
    <d v="2024-05-07T00:00:00"/>
    <s v="IYALE JOSEPHINE EPSE BELLO"/>
    <x v="0"/>
    <s v="204409219"/>
    <m/>
    <s v="PREPAID "/>
    <m/>
    <s v="657617906"/>
    <x v="2"/>
    <s v="POSE DISTRIBUTEUR "/>
    <d v="2024-04-17T00:00:00"/>
    <x v="4"/>
    <s v="EVEH"/>
    <s v="08/05/2024"/>
    <s v="EVEH/MOUMENI"/>
    <s v="37246202800"/>
    <m/>
    <m/>
    <m/>
    <m/>
    <n v="1"/>
    <s v="FAIT"/>
    <n v="1"/>
    <n v="1"/>
    <n v="0"/>
    <x v="0"/>
    <x v="18"/>
    <x v="1"/>
    <x v="0"/>
  </r>
  <r>
    <d v="2024-05-07T00:00:00"/>
    <s v="XXX NIRINTA NGAMTAKOU "/>
    <x v="0"/>
    <s v="204224200"/>
    <m/>
    <s v="POSTPAID "/>
    <m/>
    <s v="693455047"/>
    <x v="1"/>
    <s v="REMPLACEMNT "/>
    <d v="2024-04-17T00:00:00"/>
    <x v="4"/>
    <m/>
    <m/>
    <m/>
    <m/>
    <m/>
    <m/>
    <m/>
    <m/>
    <m/>
    <m/>
    <n v="1"/>
    <n v="0"/>
    <n v="1"/>
    <x v="0"/>
    <x v="18"/>
    <x v="1"/>
    <x v="0"/>
  </r>
  <r>
    <d v="2024-05-07T00:00:00"/>
    <s v="MOUSTAPHA MAHAMAT "/>
    <x v="2"/>
    <s v="203587014"/>
    <m/>
    <s v="POSTPAID "/>
    <m/>
    <s v="690045470"/>
    <x v="1"/>
    <s v="REMPLACEMNT "/>
    <d v="2024-04-17T00:00:00"/>
    <x v="4"/>
    <s v="NZEMO"/>
    <s v="08/05/2024"/>
    <s v="NZEMO/FANWI"/>
    <s v="2218120023"/>
    <s v="BRULE"/>
    <n v="3079"/>
    <n v="30"/>
    <m/>
    <n v="1"/>
    <s v="FAIT "/>
    <n v="1"/>
    <n v="1"/>
    <n v="0"/>
    <x v="0"/>
    <x v="18"/>
    <x v="1"/>
    <x v="0"/>
  </r>
  <r>
    <d v="2024-05-07T00:00:00"/>
    <s v="TCHUITE NJAKOU "/>
    <x v="0"/>
    <s v="204455742"/>
    <m/>
    <s v="PREPAID "/>
    <m/>
    <s v="690090491"/>
    <x v="0"/>
    <s v="REMPLACEMNT "/>
    <d v="2024-04-17T00:00:00"/>
    <x v="3"/>
    <s v="NFOUAPON "/>
    <s v="10/05/2024"/>
    <s v="NFOUAPN/MOUSSA "/>
    <s v="0263008470043"/>
    <n v="0"/>
    <n v="10"/>
    <n v="30"/>
    <m/>
    <n v="1"/>
    <s v="FAIT "/>
    <n v="1"/>
    <n v="1"/>
    <n v="0"/>
    <x v="0"/>
    <x v="18"/>
    <x v="1"/>
    <x v="0"/>
  </r>
  <r>
    <d v="2024-05-07T00:00:00"/>
    <s v="EPSE NDZANA NOAH"/>
    <x v="1"/>
    <s v="204036944"/>
    <m/>
    <s v="PREPAID "/>
    <m/>
    <s v="694367436"/>
    <x v="13"/>
    <s v="REMPLACEMNT "/>
    <d v="2024-04-17T00:00:00"/>
    <x v="4"/>
    <m/>
    <m/>
    <m/>
    <m/>
    <m/>
    <m/>
    <m/>
    <m/>
    <m/>
    <m/>
    <n v="1"/>
    <n v="0"/>
    <n v="1"/>
    <x v="0"/>
    <x v="18"/>
    <x v="1"/>
    <x v="0"/>
  </r>
  <r>
    <d v="2024-05-07T00:00:00"/>
    <s v="MATHURIN FOGUE "/>
    <x v="1"/>
    <s v="204177929"/>
    <m/>
    <s v="PREPAID "/>
    <m/>
    <s v="699460800"/>
    <x v="0"/>
    <s v="REMPLACEMNT "/>
    <d v="2024-04-17T00:00:00"/>
    <x v="4"/>
    <m/>
    <m/>
    <m/>
    <m/>
    <m/>
    <m/>
    <m/>
    <m/>
    <m/>
    <m/>
    <n v="1"/>
    <n v="0"/>
    <n v="1"/>
    <x v="0"/>
    <x v="18"/>
    <x v="1"/>
    <x v="0"/>
  </r>
  <r>
    <d v="2024-05-07T00:00:00"/>
    <s v="NATHALIE KOUVOU "/>
    <x v="0"/>
    <s v="203960474"/>
    <m/>
    <s v="PREPAID "/>
    <m/>
    <s v="697127488"/>
    <x v="0"/>
    <s v="REMPLACEMNT "/>
    <d v="2024-04-17T00:00:00"/>
    <x v="4"/>
    <m/>
    <m/>
    <m/>
    <m/>
    <m/>
    <m/>
    <m/>
    <m/>
    <m/>
    <m/>
    <n v="1"/>
    <n v="0"/>
    <n v="1"/>
    <x v="0"/>
    <x v="18"/>
    <x v="1"/>
    <x v="0"/>
  </r>
  <r>
    <d v="2024-05-07T00:00:00"/>
    <s v="GIOU PASCAL "/>
    <x v="2"/>
    <s v="203489715"/>
    <m/>
    <s v="INTELLIGENT "/>
    <m/>
    <s v="699937077"/>
    <x v="14"/>
    <s v="REMPLACEMNT "/>
    <d v="2024-04-17T00:00:00"/>
    <x v="4"/>
    <s v="SIELATCHOM"/>
    <s v="07/05/2024"/>
    <s v="SIELATCHOM/WEMENI"/>
    <s v="1030700448137"/>
    <m/>
    <m/>
    <m/>
    <m/>
    <n v="1"/>
    <s v="FAIT"/>
    <n v="1"/>
    <n v="1"/>
    <n v="0"/>
    <x v="0"/>
    <x v="18"/>
    <x v="1"/>
    <x v="0"/>
  </r>
  <r>
    <d v="2024-05-07T00:00:00"/>
    <s v="NDJAMBA "/>
    <x v="2"/>
    <s v="200068400"/>
    <m/>
    <s v="POSTPAID "/>
    <m/>
    <s v="694736695"/>
    <x v="1"/>
    <s v="REMPLACEMENT "/>
    <d v="2024-04-17T00:00:00"/>
    <x v="17"/>
    <s v="MOUNGUI "/>
    <s v="07/05/2024"/>
    <s v="MOUNGUI/DJOYIM"/>
    <s v="0179000758039"/>
    <n v="18259"/>
    <n v="10"/>
    <n v="30"/>
    <m/>
    <n v="1"/>
    <s v="FAIT "/>
    <n v="1"/>
    <n v="1"/>
    <n v="0"/>
    <x v="0"/>
    <x v="18"/>
    <x v="1"/>
    <x v="0"/>
  </r>
  <r>
    <d v="2024-05-07T00:00:00"/>
    <s v="NGNAGAWA MARIE CLAIRE"/>
    <x v="0"/>
    <s v="P05070313379853"/>
    <m/>
    <s v="PREPAID "/>
    <m/>
    <s v="678794509"/>
    <x v="2"/>
    <s v="POSE DISTRIBUTEUR "/>
    <d v="2024-04-17T00:00:00"/>
    <x v="6"/>
    <s v="YAMGA "/>
    <s v="08/05/2024"/>
    <s v="YAMGA/PETGA "/>
    <s v="37272835432"/>
    <m/>
    <m/>
    <m/>
    <m/>
    <n v="1"/>
    <s v="FAIT "/>
    <n v="1"/>
    <n v="1"/>
    <n v="0"/>
    <x v="0"/>
    <x v="18"/>
    <x v="1"/>
    <x v="0"/>
  </r>
  <r>
    <d v="2024-05-07T00:00:00"/>
    <s v="NWEKE HANS HONEY "/>
    <x v="2"/>
    <s v="P08210312446175"/>
    <m/>
    <s v="POSTPAID "/>
    <m/>
    <s v="677607674"/>
    <x v="2"/>
    <s v="POSE DISTRIBUTEUR "/>
    <d v="2024-04-17T00:00:00"/>
    <x v="6"/>
    <s v="YAMGA "/>
    <d v="2024-05-08T00:00:00"/>
    <s v="YAMGA/PETGA "/>
    <s v="021850132704"/>
    <m/>
    <m/>
    <m/>
    <m/>
    <n v="1"/>
    <s v="FAIT "/>
    <n v="1"/>
    <n v="1"/>
    <n v="0"/>
    <x v="0"/>
    <x v="18"/>
    <x v="1"/>
    <x v="0"/>
  </r>
  <r>
    <d v="2024-05-07T00:00:00"/>
    <s v="STE GREEN CARTRIDGE "/>
    <x v="1"/>
    <s v="203823135"/>
    <m/>
    <s v="INTELLIGENT "/>
    <m/>
    <s v="699433551"/>
    <x v="15"/>
    <s v="REMPLACEMENT DISTRIBUTEUR "/>
    <d v="2024-04-17T00:00:00"/>
    <x v="6"/>
    <s v="YAMGA "/>
    <s v="07/05/2024"/>
    <s v="YAMGA/PETGA "/>
    <s v="1030700390944"/>
    <m/>
    <m/>
    <m/>
    <m/>
    <n v="1"/>
    <s v="FAIT "/>
    <n v="1"/>
    <n v="1"/>
    <n v="0"/>
    <x v="0"/>
    <x v="18"/>
    <x v="1"/>
    <x v="0"/>
  </r>
  <r>
    <d v="2024-05-08T00:00:00"/>
    <s v="YOUNOUSSIA ABOU "/>
    <x v="2"/>
    <s v="203762051"/>
    <m/>
    <s v="PREPAID "/>
    <m/>
    <s v="694196255"/>
    <x v="1"/>
    <s v="REMPLACEMNT "/>
    <d v="2024-04-17T00:00:00"/>
    <x v="18"/>
    <s v="EPOLO"/>
    <s v="08/05/2024"/>
    <s v="EPOLO"/>
    <m/>
    <m/>
    <m/>
    <m/>
    <m/>
    <m/>
    <m/>
    <n v="1"/>
    <n v="0"/>
    <n v="1"/>
    <x v="2"/>
    <x v="1"/>
    <x v="1"/>
    <x v="0"/>
  </r>
  <r>
    <d v="2024-05-08T00:00:00"/>
    <s v="BOULET BERNARD "/>
    <x v="2"/>
    <s v="203402062"/>
    <m/>
    <s v="PREPAID"/>
    <m/>
    <s v="694420912"/>
    <x v="16"/>
    <s v="REMPLACEMNT "/>
    <d v="2024-04-17T00:00:00"/>
    <x v="18"/>
    <s v="EPOLO"/>
    <s v="08/05/2024"/>
    <s v="EPOLO"/>
    <m/>
    <m/>
    <m/>
    <m/>
    <m/>
    <m/>
    <m/>
    <n v="1"/>
    <n v="0"/>
    <n v="1"/>
    <x v="2"/>
    <x v="1"/>
    <x v="1"/>
    <x v="0"/>
  </r>
  <r>
    <d v="2024-05-08T00:00:00"/>
    <s v="WENG MUXING "/>
    <x v="2"/>
    <s v="203402062"/>
    <m/>
    <s v="PREPAID "/>
    <m/>
    <s v="656264154"/>
    <x v="16"/>
    <s v="REMPLACEMNT "/>
    <d v="2024-04-17T00:00:00"/>
    <x v="4"/>
    <m/>
    <m/>
    <m/>
    <m/>
    <m/>
    <m/>
    <m/>
    <m/>
    <m/>
    <m/>
    <n v="1"/>
    <n v="0"/>
    <n v="1"/>
    <x v="2"/>
    <x v="1"/>
    <x v="1"/>
    <x v="0"/>
  </r>
  <r>
    <d v="2024-05-08T00:00:00"/>
    <s v="MAMADOU DIALLO"/>
    <x v="1"/>
    <s v="201921162"/>
    <m/>
    <s v="PREPAID "/>
    <m/>
    <s v="699828868"/>
    <x v="16"/>
    <s v="REMPLACEMNT "/>
    <m/>
    <x v="4"/>
    <m/>
    <m/>
    <m/>
    <m/>
    <m/>
    <m/>
    <m/>
    <m/>
    <m/>
    <m/>
    <n v="1"/>
    <n v="0"/>
    <n v="1"/>
    <x v="2"/>
    <x v="1"/>
    <x v="1"/>
    <x v="0"/>
  </r>
  <r>
    <d v="2024-05-08T00:00:00"/>
    <s v="SAMUEL CHIBUIKE .E"/>
    <x v="0"/>
    <m/>
    <m/>
    <s v="PREPAID "/>
    <m/>
    <s v="672150536"/>
    <x v="2"/>
    <s v="POSE DISTRIBUTEUR "/>
    <d v="2024-04-17T00:00:00"/>
    <x v="4"/>
    <m/>
    <m/>
    <m/>
    <m/>
    <m/>
    <m/>
    <m/>
    <m/>
    <m/>
    <m/>
    <n v="1"/>
    <n v="0"/>
    <n v="1"/>
    <x v="2"/>
    <x v="1"/>
    <x v="1"/>
    <x v="0"/>
  </r>
  <r>
    <d v="2024-05-08T00:00:00"/>
    <s v="OK FOOD CAM"/>
    <x v="2"/>
    <s v="200063142"/>
    <m/>
    <s v="INTELLIGENT "/>
    <m/>
    <s v="696630010"/>
    <x v="17"/>
    <s v="REMPLACEMENT "/>
    <d v="2024-04-17T00:00:00"/>
    <x v="4"/>
    <s v="EVEHE "/>
    <s v="08/05/2024"/>
    <s v="EVEHE/MOUMENI"/>
    <s v="1030700442900"/>
    <m/>
    <n v="213"/>
    <m/>
    <m/>
    <n v="1"/>
    <s v="FAIT "/>
    <n v="1"/>
    <n v="1"/>
    <n v="0"/>
    <x v="2"/>
    <x v="1"/>
    <x v="1"/>
    <x v="0"/>
  </r>
  <r>
    <d v="2024-05-08T00:00:00"/>
    <s v="NDOUNGA "/>
    <x v="0"/>
    <s v="200198822"/>
    <m/>
    <s v="POSTPAID "/>
    <m/>
    <s v="693688562"/>
    <x v="18"/>
    <s v="POSE COMPTEUR "/>
    <d v="2024-04-17T00:00:00"/>
    <x v="4"/>
    <s v="NZEMO"/>
    <s v="08/05/2024"/>
    <s v="NZEMO/FANWI"/>
    <s v="20318879"/>
    <m/>
    <m/>
    <n v="0"/>
    <m/>
    <n v="1"/>
    <s v="FAIT "/>
    <n v="1"/>
    <n v="1"/>
    <n v="0"/>
    <x v="2"/>
    <x v="1"/>
    <x v="1"/>
    <x v="0"/>
  </r>
  <r>
    <d v="2024-05-08T00:00:00"/>
    <s v="MBEDOUM TATSING"/>
    <x v="0"/>
    <s v="200189575"/>
    <m/>
    <s v="POSTPAID "/>
    <m/>
    <s v="683668951"/>
    <x v="1"/>
    <s v="REMPLACEMENT "/>
    <d v="2024-04-17T00:00:00"/>
    <x v="6"/>
    <s v="YAMGA "/>
    <s v="08/05/2024"/>
    <s v="YAMGA/PETGA "/>
    <s v="2219007840"/>
    <s v="BRULE"/>
    <n v="1135"/>
    <m/>
    <m/>
    <n v="1"/>
    <m/>
    <n v="1"/>
    <n v="1"/>
    <n v="0"/>
    <x v="2"/>
    <x v="1"/>
    <x v="1"/>
    <x v="0"/>
  </r>
  <r>
    <d v="2024-05-08T00:00:00"/>
    <s v="BONGO ELONG"/>
    <x v="1"/>
    <s v="P05060313383632"/>
    <m/>
    <s v="PREPAID "/>
    <m/>
    <s v="650553910"/>
    <x v="2"/>
    <s v="POSE DISTRIBUTEUR "/>
    <d v="2024-04-17T00:00:00"/>
    <x v="6"/>
    <s v="YAMGA "/>
    <s v="07/05/2024"/>
    <s v="YAMGA/PETGA "/>
    <s v="37272836182"/>
    <m/>
    <m/>
    <m/>
    <m/>
    <n v="1"/>
    <s v="FAIT "/>
    <n v="1"/>
    <n v="1"/>
    <n v="0"/>
    <x v="2"/>
    <x v="1"/>
    <x v="1"/>
    <x v="0"/>
  </r>
  <r>
    <d v="2024-05-08T00:00:00"/>
    <s v="NWAMBO ABRAHAM "/>
    <x v="0"/>
    <s v="200197186"/>
    <m/>
    <s v="POSTPAID "/>
    <m/>
    <s v="694373661"/>
    <x v="16"/>
    <s v="REMPLACEMENT "/>
    <d v="2024-04-17T00:00:00"/>
    <x v="3"/>
    <s v="EWANE "/>
    <s v="08/05/2024"/>
    <s v="EWANE/EDIMO"/>
    <s v="0179000769796"/>
    <n v="91229"/>
    <n v="10"/>
    <n v="30"/>
    <m/>
    <n v="1"/>
    <s v="FAIT "/>
    <n v="1"/>
    <n v="1"/>
    <n v="0"/>
    <x v="2"/>
    <x v="1"/>
    <x v="1"/>
    <x v="0"/>
  </r>
  <r>
    <d v="2024-05-10T00:00:00"/>
    <s v="SAHO ZABZI FRANCOIS"/>
    <x v="2"/>
    <s v="204481571"/>
    <m/>
    <s v="PREPAID "/>
    <m/>
    <s v="698039306"/>
    <x v="16"/>
    <s v="REMPLACEMENT "/>
    <d v="2024-04-17T00:00:00"/>
    <x v="4"/>
    <m/>
    <m/>
    <m/>
    <m/>
    <m/>
    <m/>
    <m/>
    <m/>
    <m/>
    <m/>
    <n v="1"/>
    <n v="0"/>
    <n v="1"/>
    <x v="4"/>
    <x v="2"/>
    <x v="1"/>
    <x v="0"/>
  </r>
  <r>
    <d v="2024-05-10T00:00:00"/>
    <s v="NAVANERI ALEXANDRE "/>
    <x v="0"/>
    <s v="204482303"/>
    <m/>
    <s v="PREPAID "/>
    <m/>
    <s v="675402902"/>
    <x v="2"/>
    <s v="POSE DISTRIBUTEUR "/>
    <d v="2024-04-17T00:00:00"/>
    <x v="19"/>
    <s v="NZEMO"/>
    <m/>
    <s v="NZEMO/FANWI"/>
    <m/>
    <m/>
    <m/>
    <m/>
    <m/>
    <m/>
    <m/>
    <n v="1"/>
    <n v="0"/>
    <n v="1"/>
    <x v="4"/>
    <x v="2"/>
    <x v="1"/>
    <x v="0"/>
  </r>
  <r>
    <d v="2024-05-10T00:00:00"/>
    <s v="NDZE VIVIANE EKIE "/>
    <x v="0"/>
    <s v="204468732"/>
    <m/>
    <s v="PREPAID "/>
    <m/>
    <s v="692811184"/>
    <x v="2"/>
    <s v="POSE DISTRIBUTEUR "/>
    <d v="2024-04-17T00:00:00"/>
    <x v="19"/>
    <s v="NZEMO"/>
    <m/>
    <s v="NZEMO/FANWI"/>
    <m/>
    <m/>
    <m/>
    <m/>
    <m/>
    <m/>
    <m/>
    <n v="1"/>
    <n v="0"/>
    <n v="1"/>
    <x v="4"/>
    <x v="2"/>
    <x v="1"/>
    <x v="0"/>
  </r>
  <r>
    <d v="2024-05-10T00:00:00"/>
    <s v="NANKE DANIEL"/>
    <x v="0"/>
    <s v="204467599"/>
    <m/>
    <s v="PREPAID "/>
    <m/>
    <s v="697914544"/>
    <x v="2"/>
    <s v="POSE DISTRIBUTEUR "/>
    <d v="2024-04-17T00:00:00"/>
    <x v="5"/>
    <s v="SIELATCHOM"/>
    <m/>
    <s v="SIELATCHOM/WEMENI"/>
    <m/>
    <m/>
    <m/>
    <m/>
    <m/>
    <m/>
    <m/>
    <n v="1"/>
    <n v="0"/>
    <n v="1"/>
    <x v="4"/>
    <x v="2"/>
    <x v="1"/>
    <x v="0"/>
  </r>
  <r>
    <d v="2024-05-10T00:00:00"/>
    <s v="WANDJI PIERRE "/>
    <x v="1"/>
    <s v="204483807"/>
    <m/>
    <s v="PREPAID "/>
    <m/>
    <s v="677766380"/>
    <x v="2"/>
    <s v="POSE DISTRIBUTEUR "/>
    <d v="2024-04-17T00:00:00"/>
    <x v="6"/>
    <s v="YAMGA "/>
    <m/>
    <s v="YAMGA/PETGA "/>
    <m/>
    <m/>
    <m/>
    <m/>
    <m/>
    <m/>
    <m/>
    <n v="1"/>
    <n v="0"/>
    <n v="1"/>
    <x v="4"/>
    <x v="2"/>
    <x v="1"/>
    <x v="0"/>
  </r>
  <r>
    <d v="2024-05-10T00:00:00"/>
    <s v="WANGO ARMSTRONG"/>
    <x v="0"/>
    <s v="P05070313270685"/>
    <m/>
    <s v="PREPAID "/>
    <m/>
    <s v="677774441"/>
    <x v="2"/>
    <s v="POSE DISTRIBUTEUR "/>
    <d v="2024-04-17T00:00:00"/>
    <x v="20"/>
    <s v="EVEHE "/>
    <m/>
    <s v="EVEHE/MOUMENI"/>
    <m/>
    <m/>
    <m/>
    <m/>
    <m/>
    <m/>
    <m/>
    <n v="1"/>
    <n v="0"/>
    <n v="1"/>
    <x v="4"/>
    <x v="2"/>
    <x v="1"/>
    <x v="0"/>
  </r>
  <r>
    <d v="2024-05-10T00:00:00"/>
    <s v="AFCOTT SARL"/>
    <x v="1"/>
    <s v="203172646"/>
    <m/>
    <s v="INTELLIGENT "/>
    <m/>
    <s v="699677867"/>
    <x v="19"/>
    <s v="REMPLACEMENT DE BORNE "/>
    <d v="2024-04-17T00:00:00"/>
    <x v="20"/>
    <s v="EVEHE "/>
    <m/>
    <s v="EVEHE/MOUMENI"/>
    <m/>
    <m/>
    <m/>
    <m/>
    <m/>
    <m/>
    <m/>
    <n v="1"/>
    <n v="0"/>
    <n v="1"/>
    <x v="4"/>
    <x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8CAC19-3672-4B72-88F1-F9CEBC889101}" name="Tableau croisé dynamique1" cacheId="0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multipleFieldFilters="0" chartFormat="7" rowHeaderCaption="Agences">
  <location ref="A20:A24" firstHeaderRow="1" firstDataRow="1" firstDataCol="1"/>
  <pivotFields count="1">
    <pivotField axis="axisRow" allDrilled="1" showAll="0" dataSourceSort="1" defaultAttributeDrillState="1">
      <items count="4">
        <item x="0"/>
        <item x="1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pivotHierarchies count="7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 BASE SUIVI BRANCHEMENTS NEUFS_2.xlsm!Data_Base">
        <x15:activeTabTopLevelEntity name="[Data_Bas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BCC187-1667-4BA8-A525-A9E4B981A89C}" name="Tableau croisé dynamique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multipleFieldFilters="0" chartFormat="6" rowHeaderCaption="Journée">
  <location ref="E25:G33" firstHeaderRow="0" firstDataRow="1" firstDataCol="1"/>
  <pivotFields count="29"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axis="axisRow" showAll="0">
      <items count="9">
        <item x="1"/>
        <item x="0"/>
        <item x="2"/>
        <item x="3"/>
        <item x="4"/>
        <item x="5"/>
        <item x="6"/>
        <item m="1" x="7"/>
        <item t="default"/>
      </items>
    </pivotField>
    <pivotField showAll="0"/>
    <pivotField showAll="0"/>
    <pivotField showAll="0"/>
  </pivotFields>
  <rowFields count="1">
    <field x="2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Normalisations exécutées" fld="23" baseField="0" baseItem="0"/>
    <dataField name="Normalisations  en Cours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A7696E-694F-477D-95B6-4F1C2AC6FBBA}" name="Tableau croisé dynamique6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multipleFieldFilters="0" chartFormat="5" rowHeaderCaption="Journée">
  <location ref="J14:L22" firstHeaderRow="0" firstDataRow="1" firstDataCol="1"/>
  <pivotFields count="29">
    <pivotField numFmtId="164" showAll="0"/>
    <pivotField showAll="0"/>
    <pivotField showAll="0">
      <items count="7">
        <item x="1"/>
        <item m="1" x="5"/>
        <item x="2"/>
        <item m="1" x="4"/>
        <item x="0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axis="axisRow" showAll="0">
      <items count="9">
        <item x="1"/>
        <item x="0"/>
        <item x="2"/>
        <item x="3"/>
        <item x="4"/>
        <item x="5"/>
        <item x="6"/>
        <item m="1" x="7"/>
        <item t="default"/>
      </items>
    </pivotField>
    <pivotField showAll="0">
      <items count="20">
        <item x="0"/>
        <item x="17"/>
        <item x="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>
      <items count="3">
        <item x="0"/>
        <item x="1"/>
        <item t="default"/>
      </items>
    </pivotField>
    <pivotField showAll="0">
      <items count="10">
        <item m="1" x="5"/>
        <item x="0"/>
        <item m="1" x="4"/>
        <item m="1" x="3"/>
        <item m="1" x="2"/>
        <item m="1" x="1"/>
        <item m="1" x="8"/>
        <item m="1" x="7"/>
        <item m="1" x="6"/>
        <item t="default"/>
      </items>
    </pivotField>
  </pivotFields>
  <rowFields count="1">
    <field x="2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Normalisations exécutées " fld="23" baseField="0" baseItem="0"/>
    <dataField name="PRISE EN CHARGE DANS CMS " fld="20" baseField="0" baseItem="0"/>
  </dataFields>
  <chartFormats count="2">
    <chartFormat chart="2" format="5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F7B184-2430-4B58-B714-478FFE317D1D}" name="Tableau croisé dynamique5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multipleFieldFilters="0" chartFormat="4" rowHeaderCaption="Agences ">
  <location ref="E12:G16" firstHeaderRow="0" firstDataRow="1" firstDataCol="1"/>
  <pivotFields count="29">
    <pivotField numFmtId="164" showAll="0"/>
    <pivotField showAll="0"/>
    <pivotField axis="axisRow" showAll="0">
      <items count="7">
        <item x="1"/>
        <item m="1" x="5"/>
        <item x="2"/>
        <item m="1" x="4"/>
        <item x="0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>
      <items count="20">
        <item x="0"/>
        <item x="17"/>
        <item x="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>
      <items count="3">
        <item x="0"/>
        <item x="1"/>
        <item t="default"/>
      </items>
    </pivotField>
    <pivotField showAll="0">
      <items count="10">
        <item m="1" x="5"/>
        <item x="0"/>
        <item m="1" x="4"/>
        <item m="1" x="3"/>
        <item m="1" x="2"/>
        <item m="1" x="1"/>
        <item m="1" x="8"/>
        <item m="1" x="7"/>
        <item m="1" x="6"/>
        <item t="default"/>
      </items>
    </pivotField>
  </pivotFields>
  <rowFields count="1">
    <field x="2"/>
  </rowFields>
  <rowItems count="4">
    <i>
      <x/>
    </i>
    <i>
      <x v="2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 Normalisation exécutée" fld="23" baseField="0" baseItem="0"/>
    <dataField name="PRISE EN CHARGE DANS CMS " fld="20" baseField="0" baseItem="0"/>
  </dataFields>
  <chartFormats count="2">
    <chartFormat chart="2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F31858-CD4E-4FE7-B8DB-F77FCADBF2F8}" name="Tableau croisé dynamique4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multipleFieldFilters="0" chartFormat="8" rowHeaderCaption="Agences">
  <location ref="A2:D6" firstHeaderRow="0" firstDataRow="1" firstDataCol="1"/>
  <pivotFields count="29">
    <pivotField numFmtId="164" showAll="0"/>
    <pivotField showAll="0"/>
    <pivotField axis="axisRow" showAll="0">
      <items count="7">
        <item x="1"/>
        <item m="1" x="5"/>
        <item x="2"/>
        <item m="1" x="4"/>
        <item x="0"/>
        <item m="1" x="3"/>
        <item t="default"/>
      </items>
    </pivotField>
    <pivotField showAll="0"/>
    <pivotField showAll="0"/>
    <pivotField showAll="0"/>
    <pivotField showAll="0"/>
    <pivotField showAll="0"/>
    <pivotField showAll="0">
      <items count="21">
        <item x="19"/>
        <item x="3"/>
        <item x="4"/>
        <item x="1"/>
        <item x="13"/>
        <item x="0"/>
        <item x="16"/>
        <item x="6"/>
        <item x="12"/>
        <item x="5"/>
        <item x="9"/>
        <item x="18"/>
        <item x="17"/>
        <item x="15"/>
        <item x="14"/>
        <item x="2"/>
        <item x="7"/>
        <item x="11"/>
        <item x="8"/>
        <item x="10"/>
        <item t="default"/>
      </items>
    </pivotField>
    <pivotField showAll="0"/>
    <pivotField showAll="0"/>
    <pivotField showAll="0">
      <items count="22">
        <item x="19"/>
        <item x="5"/>
        <item x="6"/>
        <item x="20"/>
        <item x="18"/>
        <item x="10"/>
        <item x="16"/>
        <item x="17"/>
        <item x="15"/>
        <item x="3"/>
        <item x="1"/>
        <item x="11"/>
        <item x="7"/>
        <item x="14"/>
        <item x="13"/>
        <item x="9"/>
        <item x="2"/>
        <item x="8"/>
        <item x="0"/>
        <item x="12"/>
        <item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>
      <items count="20">
        <item x="0"/>
        <item x="17"/>
        <item x="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>
      <items count="3">
        <item x="0"/>
        <item x="1"/>
        <item t="default"/>
      </items>
    </pivotField>
    <pivotField showAll="0">
      <items count="10">
        <item m="1" x="5"/>
        <item x="0"/>
        <item m="1" x="4"/>
        <item m="1" x="3"/>
        <item m="1" x="2"/>
        <item m="1" x="1"/>
        <item m="1" x="8"/>
        <item m="1" x="7"/>
        <item m="1" x="6"/>
        <item t="default"/>
      </items>
    </pivotField>
  </pivotFields>
  <rowFields count="1">
    <field x="2"/>
  </rowFields>
  <rowItems count="4">
    <i>
      <x/>
    </i>
    <i>
      <x v="2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Normalisations en Cours " fld="24" baseField="0" baseItem="0"/>
    <dataField name="Normalisation executée" fld="15" subtotal="count" baseField="0" baseItem="0"/>
    <dataField name="Normalisation Total " fld="22" baseField="0" baseItem="0"/>
  </dataFields>
  <formats count="2">
    <format dxfId="64">
      <pivotArea field="2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63">
      <pivotArea field="2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chartFormats count="3">
    <chartFormat chart="2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NCE" xr10:uid="{06C859DA-7DA3-4F4D-A6A7-10CDB1CC0137}" sourceName="AGENCE">
  <pivotTables>
    <pivotTable tabId="9" name="Tableau croisé dynamique4"/>
    <pivotTable tabId="9" name="Tableau croisé dynamique5"/>
    <pivotTable tabId="9" name="Tableau croisé dynamique6"/>
  </pivotTables>
  <data>
    <tabular pivotCacheId="724549698">
      <items count="6">
        <i x="1" s="1"/>
        <i x="2" s="1"/>
        <i x="0" s="1"/>
        <i x="5" s="1" nd="1"/>
        <i x="4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nnée1" xr10:uid="{DFDB2285-76D6-4BD5-8EC1-CAA98B5C21DE}" sourceName="Année">
  <pivotTables>
    <pivotTable tabId="9" name="Tableau croisé dynamique4"/>
    <pivotTable tabId="9" name="Tableau croisé dynamique5"/>
    <pivotTable tabId="9" name="Tableau croisé dynamique6"/>
  </pivotTables>
  <data>
    <tabular pivotCacheId="724549698">
      <items count="9">
        <i x="0" s="1"/>
        <i x="5" s="1" nd="1"/>
        <i x="4" s="1" nd="1"/>
        <i x="3" s="1" nd="1"/>
        <i x="2" s="1" nd="1"/>
        <i x="1" s="1" nd="1"/>
        <i x="8" s="1" nd="1"/>
        <i x="7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1C2D51C-B139-4981-81B7-B3B436A38A3A}" sourceName="Mois">
  <pivotTables>
    <pivotTable tabId="9" name="Tableau croisé dynamique4"/>
    <pivotTable tabId="9" name="Tableau croisé dynamique5"/>
    <pivotTable tabId="9" name="Tableau croisé dynamique6"/>
  </pivotTables>
  <data>
    <tabular pivotCacheId="724549698">
      <items count="2"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Jours" xr10:uid="{AAA42448-B04C-4E1C-83EA-F23E99915737}" sourceName="Jours">
  <pivotTables>
    <pivotTable tabId="9" name="Tableau croisé dynamique4"/>
    <pivotTable tabId="9" name="Tableau croisé dynamique5"/>
    <pivotTable tabId="9" name="Tableau croisé dynamique6"/>
  </pivotTables>
  <data>
    <tabular pivotCacheId="724549698">
      <items count="19">
        <i x="0" s="1"/>
        <i x="17" s="1"/>
        <i x="18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TREPRISE_EN_CHARGE" xr10:uid="{228ABAC2-E76E-4BD0-822B-3D6EBDC8610B}" sourceName="ENTREPRISE EN CHARGE ">
  <pivotTables>
    <pivotTable tabId="9" name="Tableau croisé dynamique4"/>
  </pivotTables>
  <data>
    <tabular pivotCacheId="724549698">
      <items count="21">
        <i x="19" s="1"/>
        <i x="5" s="1"/>
        <i x="6" s="1"/>
        <i x="20" s="1"/>
        <i x="18" s="1"/>
        <i x="10" s="1"/>
        <i x="16" s="1"/>
        <i x="17" s="1"/>
        <i x="15" s="1"/>
        <i x="3" s="1"/>
        <i x="1" s="1"/>
        <i x="11" s="1"/>
        <i x="7" s="1"/>
        <i x="14" s="1"/>
        <i x="13" s="1"/>
        <i x="9" s="1"/>
        <i x="2" s="1"/>
        <i x="8" s="1"/>
        <i x="0" s="1"/>
        <i x="12" s="1"/>
        <i x="4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NOMALIE_SIGNALEE" xr10:uid="{64C874C7-FBB1-4FD3-8752-3A30AEA8CE65}" sourceName="ANOMALIE SIGNALEE">
  <pivotTables>
    <pivotTable tabId="9" name="Tableau croisé dynamique4"/>
  </pivotTables>
  <data>
    <tabular pivotCacheId="724549698">
      <items count="20">
        <i x="19" s="1"/>
        <i x="3" s="1"/>
        <i x="4" s="1"/>
        <i x="1" s="1"/>
        <i x="13" s="1"/>
        <i x="0" s="1"/>
        <i x="16" s="1"/>
        <i x="6" s="1"/>
        <i x="12" s="1"/>
        <i x="5" s="1"/>
        <i x="9" s="1"/>
        <i x="18" s="1"/>
        <i x="17" s="1"/>
        <i x="15" s="1"/>
        <i x="14" s="1"/>
        <i x="2" s="1"/>
        <i x="7" s="1"/>
        <i x="11" s="1"/>
        <i x="8" s="1"/>
        <i x="1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NCE 1" xr10:uid="{E187FB97-944D-4B8B-BB26-0FD67816CA63}" cache="Segment_AGENCE" caption="Agences/Branch's" style="SlicerStyleLight6" lockedPosition="1" rowHeight="241300"/>
  <slicer name="Année" xr10:uid="{B7101634-AECA-490F-970D-E31CCACB1182}" cache="Segment_Année1" caption="Année/Year's" columnCount="2" style="SlicerStyleLight6" lockedPosition="1" rowHeight="241300"/>
  <slicer name="Mois/Month's" xr10:uid="{34EF3E38-F866-454A-B373-7418389BE665}" cache="Segment_Mois" caption="Mois/Month's" columnCount="6" style="SlicerStyleLight6" lockedPosition="1" rowHeight="241300"/>
  <slicer name="Jours" xr10:uid="{6F696F1D-28B4-4CC5-8352-F6A326863A40}" cache="Segment_Jours" caption="Jours/Day's" columnCount="5" style="SlicerStyleLight6" lockedPosition="1" rowHeight="241300"/>
  <slicer name="ENTREPRISE EN CHARGE " xr10:uid="{0336F0AD-1301-46D0-91AC-CC58C50152F1}" cache="Segment_ENTREPRISE_EN_CHARGE" caption="ENTREPRISE EN CHARGE " style="SlicerStyleLight6" lockedPosition="1" rowHeight="241300"/>
  <slicer name="Anomalies Signalées" xr10:uid="{4BF33A05-F159-4CD9-8C12-41C49DDF5AD8}" cache="Segment_ANOMALIE_SIGNALEE" caption="Anomalies Signalées" style="SlicerStyleLight6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D3610A-6773-401F-961B-E4E39F74CDE4}" name="Tableau33" displayName="Tableau33" ref="F2:I5" totalsRowCount="1" tableBorderDxfId="62">
  <autoFilter ref="F2:I4" xr:uid="{2E917FDE-C0F6-4668-BE6F-CCEBAAEAB248}"/>
  <tableColumns count="4">
    <tableColumn id="1" xr3:uid="{F83F3ACC-E691-4D93-BA3C-AED95BE3168E}" name="Récapitulatifs" totalsRowDxfId="61"/>
    <tableColumn id="2" xr3:uid="{6F626781-2490-49F2-ABFB-5AE211788085}" name="NORMA exécutée" totalsRowDxfId="60">
      <calculatedColumnFormula>GETPIVOTDATA("[Measures].[Nombre de COMPTEUR POSE SUR LE TERRAIN]",$A$2)</calculatedColumnFormula>
    </tableColumn>
    <tableColumn id="3" xr3:uid="{B88EACB7-0E83-4003-8A10-1A3F21E5B0D9}" name="NORMA Total" dataDxfId="59" totalsRowDxfId="58">
      <calculatedColumnFormula>GETPIVOTDATA("Branchement Total",$A$2)</calculatedColumnFormula>
    </tableColumn>
    <tableColumn id="4" xr3:uid="{630B8D8B-EBB1-497C-8C1A-0194DC9ADAE9}" name="Instances" dataDxfId="57" totalsRowDxfId="56">
      <calculatedColumnFormula>H3-G3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E9746-A229-44BD-B95F-109237EED50D}" name="Data_Base_Normalisation" displayName="Data_Base_Normalisation" ref="A1:AC199" totalsRowShown="0" headerRowDxfId="55" dataDxfId="25">
  <autoFilter ref="A1:AC199" xr:uid="{03533815-CA25-4345-8707-BD835E17215D}"/>
  <tableColumns count="29">
    <tableColumn id="1" xr3:uid="{90407D79-731D-49D9-A948-5591CA4E0E52}" name="DATE D'ENTREE" dataDxfId="54"/>
    <tableColumn id="2" xr3:uid="{07EE9F56-C83C-4AC2-B534-71C73209451B}" name="NOM DU CLIENT" dataDxfId="53"/>
    <tableColumn id="3" xr3:uid="{959ED57B-6CDF-4FE1-9984-45E062EC6A7F}" name="AGENCE" dataDxfId="52"/>
    <tableColumn id="4" xr3:uid="{ED639725-133D-4418-B964-86D235E01C79}" name="CONTRAT" dataDxfId="51"/>
    <tableColumn id="5" xr3:uid="{B0146D22-DA5F-4496-BD08-1B0F7093FC3E}" name="N°COMPTEUR" dataDxfId="50"/>
    <tableColumn id="6" xr3:uid="{D40C9A70-46BE-488B-9026-348DB9B12332}" name="TYPE DE COMPTEUR" dataDxfId="49"/>
    <tableColumn id="7" xr3:uid="{1BDC1571-75B9-49BE-8A4A-9A5972386E7F}" name="ACTIVITE CLIENT" dataDxfId="48"/>
    <tableColumn id="8" xr3:uid="{81671846-514D-4AFC-AA75-34DBA4252505}" name="N° TELEPHONE CLIENT" dataDxfId="47"/>
    <tableColumn id="9" xr3:uid="{7F5B7198-D6AC-4DCD-82AA-0228D30BB1BF}" name="ANOMALIE SIGNALEE" dataDxfId="46"/>
    <tableColumn id="10" xr3:uid="{3D137151-642F-4307-B008-637C7D3E7570}" name="ACTION A MENER " dataDxfId="45"/>
    <tableColumn id="12" xr3:uid="{7B185706-B6DC-46FC-B67A-64CE530D0A08}" name="DATE PREVUE TRAVAUX" dataDxfId="44"/>
    <tableColumn id="13" xr3:uid="{FBC55D08-7511-4B1E-87CF-B18FA839A202}" name="ENTREPRISE EN CHARGE " dataDxfId="43"/>
    <tableColumn id="14" xr3:uid="{6ED0E21D-1B33-4E78-818B-C9FDE736D4E3}" name="CHEF D'EQUIPE" dataDxfId="42"/>
    <tableColumn id="15" xr3:uid="{B00BEE86-05E4-463B-9010-1676667DA957}" name="DATE EFFECTIVE DES TRAVAUX " dataDxfId="41"/>
    <tableColumn id="16" xr3:uid="{E1F6A8D5-8E7D-43A1-A992-861F1E2FA191}" name="EQUIPE D'INTERVENTIONS" dataDxfId="40"/>
    <tableColumn id="17" xr3:uid="{3893FD2C-0A03-461E-BCC2-86FD49C075DA}" name="N°COMPTEUR POSE SUR LE TERRAIN" dataDxfId="39"/>
    <tableColumn id="18" xr3:uid="{FB3C2A5E-611A-4B44-9C1C-7C994D5791B3}" name="INDEX DE DEPOSE" dataDxfId="38"/>
    <tableColumn id="19" xr3:uid="{5F0EB9D8-07A9-4329-8E2C-F7F5F3E51A52}" name="INDEX DE POSE" dataDxfId="37"/>
    <tableColumn id="20" xr3:uid="{D6B7129A-7438-4AE7-8EAC-ED810B9BC1DF}" name="DISJONCTEUR POSE SUR LE TERRAIN" dataDxfId="36"/>
    <tableColumn id="21" xr3:uid="{799D4A1A-FB82-4A1C-9B00-26CDBBF9E3EC}" name="DATE PRISE EN CHARGE CMS" dataDxfId="35"/>
    <tableColumn id="22" xr3:uid="{2790CDD9-5E85-4E68-8E77-0F1D6F39DD3D}" name="PRISE EN CHARGE DANS CMS" dataDxfId="34"/>
    <tableColumn id="23" xr3:uid="{50AEE261-10B6-417E-BDFF-EC173AA23917}" name="RECOMMANDATIONS" dataDxfId="33"/>
    <tableColumn id="24" xr3:uid="{B4125FCC-6179-4CD5-914E-A8518355628D}" name="Normalisation Total" dataDxfId="32">
      <calculatedColumnFormula>COUNTA(B2)</calculatedColumnFormula>
    </tableColumn>
    <tableColumn id="25" xr3:uid="{24917E88-79DF-4B65-A297-93CD8EB51687}" name="Normalisation exécutée" dataDxfId="31">
      <calculatedColumnFormula>COUNTA(P2)</calculatedColumnFormula>
    </tableColumn>
    <tableColumn id="26" xr3:uid="{1B5E1E49-CC0A-429D-BC1B-088C1E53CC5B}" name="Normalisations en Cours" dataDxfId="30">
      <calculatedColumnFormula>Data_Base_Normalisation[[#This Row],[Normalisation Total]]-Data_Base_Normalisation[[#This Row],[Normalisation exécutée]]</calculatedColumnFormula>
    </tableColumn>
    <tableColumn id="27" xr3:uid="{935DC547-7586-4011-9AA5-1BE31B3B53C5}" name="Journée" dataDxfId="29">
      <calculatedColumnFormula>IF(A2=""," ",TEXT(A2,"jjjj"))</calculatedColumnFormula>
    </tableColumn>
    <tableColumn id="28" xr3:uid="{ADD847C0-1D74-42DF-A448-851CF22D6EE8}" name="Jours" dataDxfId="28">
      <calculatedColumnFormula>IF(A2=""," ",TEXT(A2,"jj"))</calculatedColumnFormula>
    </tableColumn>
    <tableColumn id="30" xr3:uid="{03B9D7A1-F582-48F3-ABC0-9B774520A2EE}" name="Mois" dataDxfId="27">
      <calculatedColumnFormula>IF(A2=""," ",TEXT(A2,"mm"))</calculatedColumnFormula>
    </tableColumn>
    <tableColumn id="31" xr3:uid="{1F1C2239-C7C3-4290-BDCB-0C0D672B87C8}" name="Année" dataDxfId="26">
      <calculatedColumnFormula>IF(A2=""," ",TEXT(A2,"AAAA"))</calculatedColumnFormula>
    </tableColumn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815E7D-F1ED-4BC2-8236-9B2553E669C9}" name="TypologieAnos" displayName="TypologieAnos" ref="B1:B15" totalsRowShown="0" headerRowDxfId="23" dataDxfId="22">
  <autoFilter ref="B1:B15" xr:uid="{A05CF1D0-2625-4FD5-9B85-00A153473A5B}"/>
  <tableColumns count="1">
    <tableColumn id="1" xr3:uid="{1DC9A0C4-21D9-4912-8397-989FBF735712}" name="Typologie Anomalie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32DCC-2498-494C-8916-A95A21AA9218}">
  <sheetPr codeName="Feuil3"/>
  <dimension ref="A2:L33"/>
  <sheetViews>
    <sheetView showGridLines="0" topLeftCell="E7" workbookViewId="0">
      <selection activeCell="E25" sqref="E25:G32"/>
    </sheetView>
  </sheetViews>
  <sheetFormatPr defaultColWidth="11.42578125" defaultRowHeight="15" x14ac:dyDescent="0.25"/>
  <cols>
    <col min="1" max="1" width="11.28515625" bestFit="1" customWidth="1"/>
    <col min="2" max="2" width="23.42578125" bestFit="1" customWidth="1"/>
    <col min="3" max="3" width="22.7109375" bestFit="1" customWidth="1"/>
    <col min="4" max="4" width="19.140625" bestFit="1" customWidth="1"/>
    <col min="5" max="5" width="11.28515625" bestFit="1" customWidth="1"/>
    <col min="6" max="6" width="23.140625" bestFit="1" customWidth="1"/>
    <col min="7" max="7" width="27.28515625" bestFit="1" customWidth="1"/>
    <col min="8" max="8" width="23.140625" bestFit="1" customWidth="1"/>
    <col min="9" max="9" width="11.5703125" bestFit="1" customWidth="1"/>
    <col min="10" max="10" width="11.28515625" bestFit="1" customWidth="1"/>
    <col min="11" max="11" width="24.85546875" bestFit="1" customWidth="1"/>
    <col min="12" max="12" width="27.28515625" bestFit="1" customWidth="1"/>
    <col min="13" max="13" width="17.7109375" bestFit="1" customWidth="1"/>
    <col min="14" max="14" width="18.140625" bestFit="1" customWidth="1"/>
    <col min="15" max="15" width="17.7109375" bestFit="1" customWidth="1"/>
    <col min="16" max="16" width="18.140625" bestFit="1" customWidth="1"/>
    <col min="17" max="17" width="17.7109375" bestFit="1" customWidth="1"/>
    <col min="18" max="18" width="21.42578125" bestFit="1" customWidth="1"/>
    <col min="19" max="19" width="20.85546875" bestFit="1" customWidth="1"/>
    <col min="20" max="20" width="18.140625" bestFit="1" customWidth="1"/>
    <col min="21" max="21" width="17.7109375" bestFit="1" customWidth="1"/>
    <col min="22" max="22" width="18.140625" bestFit="1" customWidth="1"/>
    <col min="23" max="23" width="17.7109375" bestFit="1" customWidth="1"/>
    <col min="24" max="24" width="18.140625" bestFit="1" customWidth="1"/>
    <col min="25" max="25" width="17.7109375" bestFit="1" customWidth="1"/>
    <col min="26" max="26" width="18.140625" bestFit="1" customWidth="1"/>
    <col min="27" max="27" width="17.7109375" bestFit="1" customWidth="1"/>
    <col min="28" max="28" width="18.140625" bestFit="1" customWidth="1"/>
    <col min="29" max="29" width="17.7109375" bestFit="1" customWidth="1"/>
    <col min="30" max="30" width="22" bestFit="1" customWidth="1"/>
    <col min="31" max="31" width="21.5703125" bestFit="1" customWidth="1"/>
    <col min="32" max="32" width="23.140625" bestFit="1" customWidth="1"/>
    <col min="33" max="33" width="22.7109375" bestFit="1" customWidth="1"/>
  </cols>
  <sheetData>
    <row r="2" spans="1:12" x14ac:dyDescent="0.25">
      <c r="A2" s="13" t="s">
        <v>41</v>
      </c>
      <c r="B2" t="s">
        <v>913</v>
      </c>
      <c r="C2" t="s">
        <v>912</v>
      </c>
      <c r="D2" t="s">
        <v>914</v>
      </c>
      <c r="F2" s="5" t="s">
        <v>29</v>
      </c>
      <c r="G2" s="6" t="s">
        <v>916</v>
      </c>
      <c r="H2" s="6" t="s">
        <v>915</v>
      </c>
      <c r="I2" t="s">
        <v>28</v>
      </c>
    </row>
    <row r="3" spans="1:12" x14ac:dyDescent="0.25">
      <c r="A3" s="2" t="s">
        <v>1</v>
      </c>
      <c r="B3" s="33">
        <v>9</v>
      </c>
      <c r="C3" s="33">
        <v>31</v>
      </c>
      <c r="D3" s="33">
        <v>40</v>
      </c>
      <c r="F3" s="4"/>
      <c r="G3" s="3">
        <f>GETPIVOTDATA("Normalisation executée",$A$2)</f>
        <v>127</v>
      </c>
      <c r="H3" s="3">
        <f>GETPIVOTDATA("Normalisation Total ",$A$2)</f>
        <v>197</v>
      </c>
      <c r="I3" s="7">
        <f>H3-G3</f>
        <v>70</v>
      </c>
    </row>
    <row r="4" spans="1:12" x14ac:dyDescent="0.25">
      <c r="A4" s="2" t="s">
        <v>9</v>
      </c>
      <c r="B4" s="33">
        <v>24</v>
      </c>
      <c r="C4" s="33">
        <v>48</v>
      </c>
      <c r="D4" s="33">
        <v>72</v>
      </c>
      <c r="F4" s="24"/>
      <c r="G4" s="29">
        <f>G3/H3</f>
        <v>0.64467005076142136</v>
      </c>
      <c r="H4" s="25"/>
      <c r="I4" s="22">
        <f>I3/H3</f>
        <v>0.35532994923857869</v>
      </c>
    </row>
    <row r="5" spans="1:12" x14ac:dyDescent="0.25">
      <c r="A5" s="2" t="s">
        <v>908</v>
      </c>
      <c r="B5" s="33">
        <v>37</v>
      </c>
      <c r="C5" s="33">
        <v>48</v>
      </c>
      <c r="D5" s="33">
        <v>85</v>
      </c>
      <c r="G5" s="23"/>
    </row>
    <row r="6" spans="1:12" x14ac:dyDescent="0.25">
      <c r="A6" s="2" t="s">
        <v>938</v>
      </c>
      <c r="B6" s="33">
        <v>70</v>
      </c>
      <c r="C6" s="34">
        <v>127</v>
      </c>
      <c r="D6" s="34">
        <v>197</v>
      </c>
    </row>
    <row r="12" spans="1:12" x14ac:dyDescent="0.25">
      <c r="E12" s="13" t="s">
        <v>920</v>
      </c>
      <c r="F12" t="s">
        <v>918</v>
      </c>
      <c r="G12" t="s">
        <v>919</v>
      </c>
    </row>
    <row r="13" spans="1:12" x14ac:dyDescent="0.25">
      <c r="E13" s="2" t="s">
        <v>1</v>
      </c>
      <c r="F13" s="33">
        <v>31</v>
      </c>
      <c r="G13" s="33">
        <v>20</v>
      </c>
    </row>
    <row r="14" spans="1:12" x14ac:dyDescent="0.25">
      <c r="E14" s="2" t="s">
        <v>9</v>
      </c>
      <c r="F14" s="33">
        <v>48</v>
      </c>
      <c r="G14" s="33">
        <v>33</v>
      </c>
      <c r="J14" s="13" t="s">
        <v>27</v>
      </c>
      <c r="K14" t="s">
        <v>937</v>
      </c>
      <c r="L14" t="s">
        <v>919</v>
      </c>
    </row>
    <row r="15" spans="1:12" x14ac:dyDescent="0.25">
      <c r="E15" s="2" t="s">
        <v>908</v>
      </c>
      <c r="F15" s="33">
        <v>48</v>
      </c>
      <c r="G15" s="33">
        <v>29</v>
      </c>
      <c r="J15" s="2" t="s">
        <v>31</v>
      </c>
      <c r="K15" s="33">
        <v>48</v>
      </c>
      <c r="L15" s="33">
        <v>18</v>
      </c>
    </row>
    <row r="16" spans="1:12" x14ac:dyDescent="0.25">
      <c r="E16" s="2" t="s">
        <v>938</v>
      </c>
      <c r="F16" s="33">
        <v>127</v>
      </c>
      <c r="G16" s="33">
        <v>82</v>
      </c>
      <c r="J16" s="2" t="s">
        <v>32</v>
      </c>
      <c r="K16" s="33">
        <v>26</v>
      </c>
      <c r="L16" s="33">
        <v>17</v>
      </c>
    </row>
    <row r="17" spans="1:12" x14ac:dyDescent="0.25">
      <c r="J17" s="2" t="s">
        <v>33</v>
      </c>
      <c r="K17" s="33">
        <v>13</v>
      </c>
      <c r="L17" s="33">
        <v>7</v>
      </c>
    </row>
    <row r="18" spans="1:12" x14ac:dyDescent="0.25">
      <c r="J18" s="2" t="s">
        <v>30</v>
      </c>
      <c r="K18" s="33">
        <v>16</v>
      </c>
      <c r="L18" s="33">
        <v>16</v>
      </c>
    </row>
    <row r="19" spans="1:12" x14ac:dyDescent="0.25">
      <c r="J19" s="2" t="s">
        <v>35</v>
      </c>
      <c r="K19" s="33">
        <v>22</v>
      </c>
      <c r="L19" s="33">
        <v>22</v>
      </c>
    </row>
    <row r="20" spans="1:12" x14ac:dyDescent="0.25">
      <c r="A20" s="13" t="s">
        <v>41</v>
      </c>
      <c r="J20" s="2" t="s">
        <v>34</v>
      </c>
      <c r="K20" s="33">
        <v>1</v>
      </c>
      <c r="L20" s="33">
        <v>1</v>
      </c>
    </row>
    <row r="21" spans="1:12" x14ac:dyDescent="0.25">
      <c r="A21" s="2" t="s">
        <v>1</v>
      </c>
      <c r="J21" s="2" t="s">
        <v>917</v>
      </c>
      <c r="K21" s="33">
        <v>1</v>
      </c>
      <c r="L21" s="33">
        <v>1</v>
      </c>
    </row>
    <row r="22" spans="1:12" x14ac:dyDescent="0.25">
      <c r="A22" s="2" t="s">
        <v>9</v>
      </c>
      <c r="J22" s="2" t="s">
        <v>938</v>
      </c>
      <c r="K22" s="33">
        <v>127</v>
      </c>
      <c r="L22" s="33">
        <v>82</v>
      </c>
    </row>
    <row r="23" spans="1:12" x14ac:dyDescent="0.25">
      <c r="A23" s="2" t="s">
        <v>908</v>
      </c>
    </row>
    <row r="24" spans="1:12" x14ac:dyDescent="0.25">
      <c r="A24" s="2" t="s">
        <v>23</v>
      </c>
    </row>
    <row r="25" spans="1:12" x14ac:dyDescent="0.25">
      <c r="E25" s="13" t="s">
        <v>27</v>
      </c>
      <c r="F25" t="s">
        <v>936</v>
      </c>
      <c r="G25" t="s">
        <v>935</v>
      </c>
    </row>
    <row r="26" spans="1:12" x14ac:dyDescent="0.25">
      <c r="E26" s="2" t="s">
        <v>31</v>
      </c>
      <c r="F26">
        <v>48</v>
      </c>
      <c r="G26">
        <v>41</v>
      </c>
    </row>
    <row r="27" spans="1:12" x14ac:dyDescent="0.25">
      <c r="E27" s="2" t="s">
        <v>32</v>
      </c>
      <c r="F27">
        <v>26</v>
      </c>
      <c r="G27">
        <v>6</v>
      </c>
    </row>
    <row r="28" spans="1:12" x14ac:dyDescent="0.25">
      <c r="E28" s="2" t="s">
        <v>33</v>
      </c>
      <c r="F28">
        <v>13</v>
      </c>
      <c r="G28">
        <v>8</v>
      </c>
    </row>
    <row r="29" spans="1:12" x14ac:dyDescent="0.25">
      <c r="E29" s="2" t="s">
        <v>30</v>
      </c>
      <c r="F29">
        <v>16</v>
      </c>
      <c r="G29">
        <v>1</v>
      </c>
    </row>
    <row r="30" spans="1:12" x14ac:dyDescent="0.25">
      <c r="E30" s="2" t="s">
        <v>35</v>
      </c>
      <c r="F30">
        <v>22</v>
      </c>
      <c r="G30">
        <v>14</v>
      </c>
    </row>
    <row r="31" spans="1:12" x14ac:dyDescent="0.25">
      <c r="B31" t="s">
        <v>1</v>
      </c>
      <c r="E31" s="2" t="s">
        <v>34</v>
      </c>
      <c r="F31">
        <v>1</v>
      </c>
      <c r="G31">
        <v>0</v>
      </c>
    </row>
    <row r="32" spans="1:12" x14ac:dyDescent="0.25">
      <c r="B32" t="s">
        <v>9</v>
      </c>
      <c r="E32" s="2" t="s">
        <v>917</v>
      </c>
      <c r="F32">
        <v>1</v>
      </c>
      <c r="G32">
        <v>0</v>
      </c>
    </row>
    <row r="33" spans="2:7" x14ac:dyDescent="0.25">
      <c r="B33" t="s">
        <v>908</v>
      </c>
      <c r="E33" s="2" t="s">
        <v>23</v>
      </c>
      <c r="F33">
        <v>127</v>
      </c>
      <c r="G33">
        <v>70</v>
      </c>
    </row>
  </sheetData>
  <sheetProtection algorithmName="SHA-512" hashValue="0hLJsmo5q8DOosXP3RQ4GwYY8vFZJ1sJPtQnHSm3kvAZcZwYxGyGjbpVx2pyyRA96tqeyd1b/OepXvMX1eqChA==" saltValue="5c+fJPZmpQLcE4PmbRB6nQ==" spinCount="100000" sheet="1" objects="1" scenarios="1" formatRows="0" insertColumns="0" insertRows="0" selectLockedCells="1" sort="0" autoFilter="0" pivotTables="0"/>
  <conditionalFormatting sqref="I4">
    <cfRule type="colorScale" priority="3">
      <colorScale>
        <cfvo type="num" val="0.15"/>
        <cfvo type="num" val="0.5"/>
        <cfvo type="num" val="0.95"/>
        <color rgb="FF00B050"/>
        <color theme="5"/>
        <color rgb="FFFF0000"/>
      </colorScale>
    </cfRule>
  </conditionalFormatting>
  <conditionalFormatting sqref="G4">
    <cfRule type="iconSet" priority="2">
      <iconSet iconSet="5Arrows">
        <cfvo type="percent" val="0"/>
        <cfvo type="num" val="0.25" gte="0"/>
        <cfvo type="num" val="0.45" gte="0"/>
        <cfvo type="num" val="0.65" gte="0"/>
        <cfvo type="num" val="0.85" gte="0"/>
      </iconSet>
    </cfRule>
  </conditionalFormatting>
  <conditionalFormatting sqref="G5">
    <cfRule type="iconSet" priority="1">
      <iconSet iconSet="5Arrows" showValue="0">
        <cfvo type="percent" val="0"/>
        <cfvo type="num" val="0.25" gte="0"/>
        <cfvo type="num" val="0.45" gte="0"/>
        <cfvo type="num" val="0.65" gte="0"/>
        <cfvo type="num" val="0.85" gte="0"/>
      </iconSet>
    </cfRule>
  </conditionalFormatting>
  <pageMargins left="0.7" right="0.7" top="0.75" bottom="0.75" header="0.3" footer="0.3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CCC94-67A9-471E-9640-D661D1FB6CE3}">
  <sheetPr codeName="Feuil4"/>
  <dimension ref="B2:P21"/>
  <sheetViews>
    <sheetView showGridLines="0" showRowColHeaders="0" tabSelected="1" topLeftCell="A4" zoomScale="80" zoomScaleNormal="80" workbookViewId="0">
      <selection activeCell="T42" sqref="T42"/>
    </sheetView>
  </sheetViews>
  <sheetFormatPr defaultColWidth="11.42578125" defaultRowHeight="15" x14ac:dyDescent="0.25"/>
  <cols>
    <col min="1" max="2" width="11.42578125" style="30"/>
    <col min="3" max="3" width="11" style="30" customWidth="1"/>
    <col min="4" max="21" width="11.42578125" style="30"/>
    <col min="22" max="22" width="12.42578125" style="30" bestFit="1" customWidth="1"/>
    <col min="23" max="16384" width="11.42578125" style="30"/>
  </cols>
  <sheetData>
    <row r="2" spans="16:16" x14ac:dyDescent="0.25">
      <c r="P2" s="32">
        <f>MAXA('NORMALISATIONS DEC SUD'!A:A)</f>
        <v>45422</v>
      </c>
    </row>
    <row r="21" spans="2:2" x14ac:dyDescent="0.25">
      <c r="B21" s="31"/>
    </row>
  </sheetData>
  <sheetProtection algorithmName="SHA-512" hashValue="oAiO9dOC9z12wZlE5ntHn+AeiotPcKL/83wvpPX4mOgU7mK+w3IKFFjsSysTB9g/w0BrOMWs2LE6POUcHpngOg==" saltValue="6DRZvC0jDpf2pjU1RU5YCA==" spinCount="100000" sheet="1" objects="1" scenarios="1" selectLockedCells="1" sort="0" autoFilter="0" pivotTables="0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Update/Actualiser">
              <controlPr defaultSize="0" autoFill="0" autoPict="0" macro="[0]!Mise_à_jour">
                <anchor>
                  <from>
                    <xdr:col>0</xdr:col>
                    <xdr:colOff>66675</xdr:colOff>
                    <xdr:row>0</xdr:row>
                    <xdr:rowOff>114300</xdr:rowOff>
                  </from>
                  <to>
                    <xdr:col>3</xdr:col>
                    <xdr:colOff>9525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57386-9453-4063-B565-9BC71A128B9C}">
  <sheetPr codeName="Sheet1"/>
  <dimension ref="A1:AC199"/>
  <sheetViews>
    <sheetView showGridLines="0" showRowColHeaders="0" zoomScaleNormal="100" workbookViewId="0">
      <pane ySplit="1" topLeftCell="A101" activePane="bottomLeft" state="frozen"/>
      <selection pane="bottomLeft" activeCell="A200" sqref="A200"/>
    </sheetView>
  </sheetViews>
  <sheetFormatPr defaultColWidth="11.42578125" defaultRowHeight="15" x14ac:dyDescent="0.25"/>
  <cols>
    <col min="1" max="1" width="18.5703125" style="15" customWidth="1"/>
    <col min="2" max="2" width="34.28515625" style="16" bestFit="1" customWidth="1"/>
    <col min="3" max="3" width="12.7109375" style="16" bestFit="1" customWidth="1"/>
    <col min="4" max="4" width="17.42578125" style="36" hidden="1" customWidth="1"/>
    <col min="5" max="5" width="17.7109375" style="36" hidden="1" customWidth="1"/>
    <col min="6" max="6" width="23" style="17" customWidth="1"/>
    <col min="7" max="7" width="18.5703125" style="15" bestFit="1" customWidth="1"/>
    <col min="8" max="8" width="18" style="36" hidden="1" customWidth="1"/>
    <col min="9" max="9" width="37.42578125" style="16" customWidth="1"/>
    <col min="10" max="10" width="22.7109375" style="16" bestFit="1" customWidth="1"/>
    <col min="11" max="11" width="26.28515625" style="15" bestFit="1" customWidth="1"/>
    <col min="12" max="12" width="26.42578125" style="16" bestFit="1" customWidth="1"/>
    <col min="13" max="13" width="22.5703125" style="36" hidden="1" customWidth="1"/>
    <col min="14" max="14" width="22" style="26" customWidth="1"/>
    <col min="15" max="15" width="33.7109375" style="16" customWidth="1"/>
    <col min="16" max="16" width="21.28515625" style="36" hidden="1" customWidth="1"/>
    <col min="17" max="17" width="26.28515625" style="18" customWidth="1"/>
    <col min="18" max="18" width="17.140625" style="18" customWidth="1"/>
    <col min="19" max="19" width="25.7109375" style="16" customWidth="1"/>
    <col min="20" max="20" width="16.42578125" style="16" bestFit="1" customWidth="1"/>
    <col min="21" max="21" width="23.140625" style="18" bestFit="1" customWidth="1"/>
    <col min="22" max="22" width="22.7109375" style="16" bestFit="1" customWidth="1"/>
    <col min="23" max="23" width="23.28515625" style="21" bestFit="1" customWidth="1"/>
    <col min="24" max="24" width="18.28515625" style="21" bestFit="1" customWidth="1"/>
    <col min="25" max="25" width="27.5703125" style="21" bestFit="1" customWidth="1"/>
    <col min="26" max="26" width="10.42578125" style="21" bestFit="1" customWidth="1"/>
    <col min="27" max="27" width="7.85546875" style="21" bestFit="1" customWidth="1"/>
    <col min="28" max="28" width="7.7109375" style="21" bestFit="1" customWidth="1"/>
    <col min="29" max="29" width="9.140625" style="21" bestFit="1" customWidth="1"/>
  </cols>
  <sheetData>
    <row r="1" spans="1:29" s="1" customFormat="1" ht="30.95" customHeight="1" x14ac:dyDescent="0.25">
      <c r="A1" s="9" t="s">
        <v>42</v>
      </c>
      <c r="B1" s="8" t="s">
        <v>0</v>
      </c>
      <c r="C1" s="8" t="s">
        <v>7</v>
      </c>
      <c r="D1" s="40" t="s">
        <v>237</v>
      </c>
      <c r="E1" s="39" t="s">
        <v>426</v>
      </c>
      <c r="F1" s="14" t="s">
        <v>2</v>
      </c>
      <c r="G1" s="9" t="s">
        <v>3</v>
      </c>
      <c r="H1" s="38" t="s">
        <v>4</v>
      </c>
      <c r="I1" s="10" t="s">
        <v>665</v>
      </c>
      <c r="J1" s="10" t="s">
        <v>683</v>
      </c>
      <c r="K1" s="9" t="s">
        <v>5</v>
      </c>
      <c r="L1" s="8" t="s">
        <v>696</v>
      </c>
      <c r="M1" s="37" t="s">
        <v>717</v>
      </c>
      <c r="N1" s="27" t="s">
        <v>771</v>
      </c>
      <c r="O1" s="11" t="s">
        <v>8</v>
      </c>
      <c r="P1" s="35" t="s">
        <v>785</v>
      </c>
      <c r="Q1" s="12" t="s">
        <v>897</v>
      </c>
      <c r="R1" s="12" t="s">
        <v>36</v>
      </c>
      <c r="S1" s="12" t="s">
        <v>902</v>
      </c>
      <c r="T1" s="10" t="s">
        <v>903</v>
      </c>
      <c r="U1" s="12" t="s">
        <v>911</v>
      </c>
      <c r="V1" s="8" t="s">
        <v>6</v>
      </c>
      <c r="W1" s="28" t="s">
        <v>907</v>
      </c>
      <c r="X1" s="20" t="s">
        <v>910</v>
      </c>
      <c r="Y1" s="20" t="s">
        <v>909</v>
      </c>
      <c r="Z1" s="19" t="s">
        <v>27</v>
      </c>
      <c r="AA1" s="19" t="s">
        <v>25</v>
      </c>
      <c r="AB1" s="19" t="s">
        <v>24</v>
      </c>
      <c r="AC1" s="19" t="s">
        <v>26</v>
      </c>
    </row>
    <row r="2" spans="1:29" x14ac:dyDescent="0.25">
      <c r="A2" s="41">
        <v>45384</v>
      </c>
      <c r="B2" s="42" t="s">
        <v>43</v>
      </c>
      <c r="C2" s="42" t="s">
        <v>908</v>
      </c>
      <c r="D2" s="42" t="s">
        <v>238</v>
      </c>
      <c r="E2" s="43" t="s">
        <v>427</v>
      </c>
      <c r="F2" s="44" t="s">
        <v>496</v>
      </c>
      <c r="G2" s="41"/>
      <c r="H2" s="42" t="s">
        <v>507</v>
      </c>
      <c r="I2" s="42" t="s">
        <v>666</v>
      </c>
      <c r="J2" s="45" t="s">
        <v>684</v>
      </c>
      <c r="K2" s="46">
        <v>45399</v>
      </c>
      <c r="L2" s="45" t="s">
        <v>697</v>
      </c>
      <c r="M2" s="42" t="s">
        <v>15</v>
      </c>
      <c r="N2" s="46">
        <v>45384</v>
      </c>
      <c r="O2" s="42" t="s">
        <v>741</v>
      </c>
      <c r="P2" s="42" t="s">
        <v>786</v>
      </c>
      <c r="Q2" s="45"/>
      <c r="R2" s="45"/>
      <c r="S2" s="42"/>
      <c r="T2" s="47"/>
      <c r="U2" s="45">
        <v>1</v>
      </c>
      <c r="V2" s="42" t="s">
        <v>904</v>
      </c>
      <c r="W2" s="42">
        <f>COUNTA(B2)</f>
        <v>1</v>
      </c>
      <c r="X2" s="42">
        <f>COUNTA(P2)</f>
        <v>1</v>
      </c>
      <c r="Y2" s="48">
        <f>Data_Base_Normalisation[[#This Row],[Normalisation Total]]-Data_Base_Normalisation[[#This Row],[Normalisation exécutée]]</f>
        <v>0</v>
      </c>
      <c r="Z2" s="42" t="str">
        <f>IF(A2=""," ",TEXT(A2,"jjjj"))</f>
        <v>mardi</v>
      </c>
      <c r="AA2" s="42" t="str">
        <f>IF(A2=""," ",TEXT(A2,"jj"))</f>
        <v>02</v>
      </c>
      <c r="AB2" s="42" t="str">
        <f>IF(A2=""," ",TEXT(A2,"mm"))</f>
        <v>04</v>
      </c>
      <c r="AC2" s="42" t="str">
        <f>IF(A2=""," ",TEXT(A2,"AAAA"))</f>
        <v>2024</v>
      </c>
    </row>
    <row r="3" spans="1:29" x14ac:dyDescent="0.25">
      <c r="A3" s="41">
        <v>45384</v>
      </c>
      <c r="B3" s="42" t="s">
        <v>44</v>
      </c>
      <c r="C3" s="42" t="s">
        <v>908</v>
      </c>
      <c r="D3" s="42" t="s">
        <v>239</v>
      </c>
      <c r="E3" s="43" t="s">
        <v>428</v>
      </c>
      <c r="F3" s="44" t="s">
        <v>497</v>
      </c>
      <c r="G3" s="41"/>
      <c r="H3" s="42" t="s">
        <v>508</v>
      </c>
      <c r="I3" s="42" t="s">
        <v>666</v>
      </c>
      <c r="J3" s="45" t="s">
        <v>685</v>
      </c>
      <c r="K3" s="46">
        <v>45399</v>
      </c>
      <c r="L3" s="45" t="s">
        <v>698</v>
      </c>
      <c r="M3" s="42" t="s">
        <v>21</v>
      </c>
      <c r="N3" s="46">
        <v>45384</v>
      </c>
      <c r="O3" s="42" t="s">
        <v>21</v>
      </c>
      <c r="P3" s="42" t="s">
        <v>787</v>
      </c>
      <c r="Q3" s="45">
        <v>0</v>
      </c>
      <c r="R3" s="45">
        <v>3453</v>
      </c>
      <c r="S3" s="42"/>
      <c r="T3" s="47"/>
      <c r="U3" s="45">
        <v>1</v>
      </c>
      <c r="V3" s="42" t="s">
        <v>905</v>
      </c>
      <c r="W3" s="42">
        <f t="shared" ref="W3:W66" si="0">COUNTA(B3)</f>
        <v>1</v>
      </c>
      <c r="X3" s="42">
        <f t="shared" ref="X3:X66" si="1">COUNTA(P3)</f>
        <v>1</v>
      </c>
      <c r="Y3" s="48">
        <f>Data_Base_Normalisation[[#This Row],[Normalisation Total]]-Data_Base_Normalisation[[#This Row],[Normalisation exécutée]]</f>
        <v>0</v>
      </c>
      <c r="Z3" s="42" t="str">
        <f t="shared" ref="Z3:Z66" si="2">IF(A3=""," ",TEXT(A3,"jjjj"))</f>
        <v>mardi</v>
      </c>
      <c r="AA3" s="42" t="str">
        <f t="shared" ref="AA3:AA66" si="3">IF(A3=""," ",TEXT(A3,"jj"))</f>
        <v>02</v>
      </c>
      <c r="AB3" s="42" t="str">
        <f t="shared" ref="AB3:AB66" si="4">IF(A3=""," ",TEXT(A3,"mm"))</f>
        <v>04</v>
      </c>
      <c r="AC3" s="42" t="str">
        <f t="shared" ref="AC3:AC66" si="5">IF(A3=""," ",TEXT(A3,"AAAA"))</f>
        <v>2024</v>
      </c>
    </row>
    <row r="4" spans="1:29" x14ac:dyDescent="0.25">
      <c r="A4" s="41">
        <v>45390</v>
      </c>
      <c r="B4" s="42" t="s">
        <v>45</v>
      </c>
      <c r="C4" s="42" t="s">
        <v>1</v>
      </c>
      <c r="D4" s="42" t="s">
        <v>240</v>
      </c>
      <c r="E4" s="43" t="s">
        <v>429</v>
      </c>
      <c r="F4" s="44" t="s">
        <v>498</v>
      </c>
      <c r="G4" s="41"/>
      <c r="H4" s="42" t="s">
        <v>509</v>
      </c>
      <c r="I4" s="42" t="s">
        <v>666</v>
      </c>
      <c r="J4" s="45" t="s">
        <v>684</v>
      </c>
      <c r="K4" s="46">
        <v>45399</v>
      </c>
      <c r="L4" s="45" t="s">
        <v>699</v>
      </c>
      <c r="M4" s="42" t="s">
        <v>13</v>
      </c>
      <c r="N4" s="46">
        <v>45390</v>
      </c>
      <c r="O4" s="42" t="s">
        <v>742</v>
      </c>
      <c r="P4" s="42" t="s">
        <v>788</v>
      </c>
      <c r="Q4" s="45"/>
      <c r="R4" s="45"/>
      <c r="S4" s="42"/>
      <c r="T4" s="47"/>
      <c r="U4" s="45">
        <v>1</v>
      </c>
      <c r="V4" s="42" t="s">
        <v>904</v>
      </c>
      <c r="W4" s="42">
        <f t="shared" si="0"/>
        <v>1</v>
      </c>
      <c r="X4" s="42">
        <f t="shared" si="1"/>
        <v>1</v>
      </c>
      <c r="Y4" s="48">
        <f>Data_Base_Normalisation[[#This Row],[Normalisation Total]]-Data_Base_Normalisation[[#This Row],[Normalisation exécutée]]</f>
        <v>0</v>
      </c>
      <c r="Z4" s="42" t="str">
        <f t="shared" si="2"/>
        <v>lundi</v>
      </c>
      <c r="AA4" s="42" t="str">
        <f t="shared" si="3"/>
        <v>08</v>
      </c>
      <c r="AB4" s="42" t="str">
        <f t="shared" si="4"/>
        <v>04</v>
      </c>
      <c r="AC4" s="42" t="str">
        <f t="shared" si="5"/>
        <v>2024</v>
      </c>
    </row>
    <row r="5" spans="1:29" x14ac:dyDescent="0.25">
      <c r="A5" s="41">
        <v>45390</v>
      </c>
      <c r="B5" s="42" t="s">
        <v>46</v>
      </c>
      <c r="C5" s="42" t="s">
        <v>908</v>
      </c>
      <c r="D5" s="42" t="s">
        <v>241</v>
      </c>
      <c r="E5" s="43" t="s">
        <v>430</v>
      </c>
      <c r="F5" s="44" t="s">
        <v>497</v>
      </c>
      <c r="G5" s="41"/>
      <c r="H5" s="42" t="s">
        <v>510</v>
      </c>
      <c r="I5" s="42" t="s">
        <v>666</v>
      </c>
      <c r="J5" s="45" t="s">
        <v>684</v>
      </c>
      <c r="K5" s="46">
        <v>45399</v>
      </c>
      <c r="L5" s="45" t="s">
        <v>699</v>
      </c>
      <c r="M5" s="42" t="s">
        <v>13</v>
      </c>
      <c r="N5" s="46">
        <v>45390</v>
      </c>
      <c r="O5" s="42" t="s">
        <v>742</v>
      </c>
      <c r="P5" s="42" t="s">
        <v>789</v>
      </c>
      <c r="Q5" s="45"/>
      <c r="R5" s="45"/>
      <c r="S5" s="42"/>
      <c r="T5" s="47"/>
      <c r="U5" s="45">
        <v>1</v>
      </c>
      <c r="V5" s="42" t="s">
        <v>904</v>
      </c>
      <c r="W5" s="42">
        <f t="shared" si="0"/>
        <v>1</v>
      </c>
      <c r="X5" s="42">
        <f t="shared" si="1"/>
        <v>1</v>
      </c>
      <c r="Y5" s="48">
        <f>Data_Base_Normalisation[[#This Row],[Normalisation Total]]-Data_Base_Normalisation[[#This Row],[Normalisation exécutée]]</f>
        <v>0</v>
      </c>
      <c r="Z5" s="42" t="str">
        <f t="shared" si="2"/>
        <v>lundi</v>
      </c>
      <c r="AA5" s="42" t="str">
        <f t="shared" si="3"/>
        <v>08</v>
      </c>
      <c r="AB5" s="42" t="str">
        <f t="shared" si="4"/>
        <v>04</v>
      </c>
      <c r="AC5" s="42" t="str">
        <f t="shared" si="5"/>
        <v>2024</v>
      </c>
    </row>
    <row r="6" spans="1:29" x14ac:dyDescent="0.25">
      <c r="A6" s="41">
        <v>45390</v>
      </c>
      <c r="B6" s="42" t="s">
        <v>47</v>
      </c>
      <c r="C6" s="42" t="s">
        <v>9</v>
      </c>
      <c r="D6" s="42" t="s">
        <v>242</v>
      </c>
      <c r="E6" s="43" t="s">
        <v>431</v>
      </c>
      <c r="F6" s="44" t="s">
        <v>499</v>
      </c>
      <c r="G6" s="41"/>
      <c r="H6" s="42" t="s">
        <v>511</v>
      </c>
      <c r="I6" s="42" t="s">
        <v>666</v>
      </c>
      <c r="J6" s="45" t="s">
        <v>684</v>
      </c>
      <c r="K6" s="46">
        <v>45397</v>
      </c>
      <c r="L6" s="45" t="s">
        <v>700</v>
      </c>
      <c r="M6" s="42" t="s">
        <v>10</v>
      </c>
      <c r="N6" s="46">
        <v>45390</v>
      </c>
      <c r="O6" s="42" t="s">
        <v>743</v>
      </c>
      <c r="P6" s="42" t="s">
        <v>790</v>
      </c>
      <c r="Q6" s="45"/>
      <c r="R6" s="45"/>
      <c r="S6" s="42"/>
      <c r="T6" s="47"/>
      <c r="U6" s="45">
        <v>1</v>
      </c>
      <c r="V6" s="42" t="s">
        <v>904</v>
      </c>
      <c r="W6" s="42">
        <f t="shared" si="0"/>
        <v>1</v>
      </c>
      <c r="X6" s="42">
        <f t="shared" si="1"/>
        <v>1</v>
      </c>
      <c r="Y6" s="48">
        <f>Data_Base_Normalisation[[#This Row],[Normalisation Total]]-Data_Base_Normalisation[[#This Row],[Normalisation exécutée]]</f>
        <v>0</v>
      </c>
      <c r="Z6" s="42" t="str">
        <f t="shared" si="2"/>
        <v>lundi</v>
      </c>
      <c r="AA6" s="42" t="str">
        <f t="shared" si="3"/>
        <v>08</v>
      </c>
      <c r="AB6" s="42" t="str">
        <f t="shared" si="4"/>
        <v>04</v>
      </c>
      <c r="AC6" s="42" t="str">
        <f t="shared" si="5"/>
        <v>2024</v>
      </c>
    </row>
    <row r="7" spans="1:29" x14ac:dyDescent="0.25">
      <c r="A7" s="41">
        <v>45390</v>
      </c>
      <c r="B7" s="42" t="s">
        <v>48</v>
      </c>
      <c r="C7" s="42" t="s">
        <v>1</v>
      </c>
      <c r="D7" s="42" t="s">
        <v>243</v>
      </c>
      <c r="E7" s="43" t="s">
        <v>432</v>
      </c>
      <c r="F7" s="44" t="s">
        <v>499</v>
      </c>
      <c r="G7" s="41"/>
      <c r="H7" s="42" t="s">
        <v>512</v>
      </c>
      <c r="I7" s="42" t="s">
        <v>666</v>
      </c>
      <c r="J7" s="45" t="s">
        <v>684</v>
      </c>
      <c r="K7" s="46">
        <v>45397</v>
      </c>
      <c r="L7" s="45" t="s">
        <v>700</v>
      </c>
      <c r="M7" s="42" t="s">
        <v>10</v>
      </c>
      <c r="N7" s="46">
        <v>45390</v>
      </c>
      <c r="O7" s="42" t="s">
        <v>743</v>
      </c>
      <c r="P7" s="42" t="s">
        <v>791</v>
      </c>
      <c r="Q7" s="45"/>
      <c r="R7" s="45"/>
      <c r="S7" s="42"/>
      <c r="T7" s="47"/>
      <c r="U7" s="45">
        <v>1</v>
      </c>
      <c r="V7" s="42" t="s">
        <v>904</v>
      </c>
      <c r="W7" s="42">
        <f t="shared" si="0"/>
        <v>1</v>
      </c>
      <c r="X7" s="42">
        <f t="shared" si="1"/>
        <v>1</v>
      </c>
      <c r="Y7" s="48">
        <f>Data_Base_Normalisation[[#This Row],[Normalisation Total]]-Data_Base_Normalisation[[#This Row],[Normalisation exécutée]]</f>
        <v>0</v>
      </c>
      <c r="Z7" s="42" t="str">
        <f t="shared" si="2"/>
        <v>lundi</v>
      </c>
      <c r="AA7" s="42" t="str">
        <f t="shared" si="3"/>
        <v>08</v>
      </c>
      <c r="AB7" s="42" t="str">
        <f t="shared" si="4"/>
        <v>04</v>
      </c>
      <c r="AC7" s="42" t="str">
        <f t="shared" si="5"/>
        <v>2024</v>
      </c>
    </row>
    <row r="8" spans="1:29" x14ac:dyDescent="0.25">
      <c r="A8" s="41">
        <v>45392</v>
      </c>
      <c r="B8" s="42" t="s">
        <v>49</v>
      </c>
      <c r="C8" s="42" t="s">
        <v>908</v>
      </c>
      <c r="D8" s="42" t="s">
        <v>244</v>
      </c>
      <c r="E8" s="43" t="s">
        <v>433</v>
      </c>
      <c r="F8" s="44" t="s">
        <v>499</v>
      </c>
      <c r="G8" s="41"/>
      <c r="H8" s="42" t="s">
        <v>513</v>
      </c>
      <c r="I8" s="42" t="s">
        <v>667</v>
      </c>
      <c r="J8" s="45" t="s">
        <v>685</v>
      </c>
      <c r="K8" s="46">
        <v>45394</v>
      </c>
      <c r="L8" s="45"/>
      <c r="M8" s="42"/>
      <c r="N8" s="46"/>
      <c r="O8" s="42"/>
      <c r="P8" s="42"/>
      <c r="Q8" s="45"/>
      <c r="R8" s="45"/>
      <c r="S8" s="42"/>
      <c r="T8" s="47"/>
      <c r="U8" s="45"/>
      <c r="V8" s="42"/>
      <c r="W8" s="42">
        <f t="shared" si="0"/>
        <v>1</v>
      </c>
      <c r="X8" s="42">
        <f t="shared" si="1"/>
        <v>0</v>
      </c>
      <c r="Y8" s="48">
        <f>Data_Base_Normalisation[[#This Row],[Normalisation Total]]-Data_Base_Normalisation[[#This Row],[Normalisation exécutée]]</f>
        <v>1</v>
      </c>
      <c r="Z8" s="42" t="str">
        <f t="shared" si="2"/>
        <v>mercredi</v>
      </c>
      <c r="AA8" s="42" t="str">
        <f t="shared" si="3"/>
        <v>10</v>
      </c>
      <c r="AB8" s="42" t="str">
        <f t="shared" si="4"/>
        <v>04</v>
      </c>
      <c r="AC8" s="42" t="str">
        <f t="shared" si="5"/>
        <v>2024</v>
      </c>
    </row>
    <row r="9" spans="1:29" x14ac:dyDescent="0.25">
      <c r="A9" s="41">
        <v>45392</v>
      </c>
      <c r="B9" s="42" t="s">
        <v>50</v>
      </c>
      <c r="C9" s="42" t="s">
        <v>908</v>
      </c>
      <c r="D9" s="42" t="s">
        <v>245</v>
      </c>
      <c r="E9" s="43" t="s">
        <v>434</v>
      </c>
      <c r="F9" s="44" t="s">
        <v>497</v>
      </c>
      <c r="G9" s="41"/>
      <c r="H9" s="42" t="s">
        <v>514</v>
      </c>
      <c r="I9" s="42" t="s">
        <v>668</v>
      </c>
      <c r="J9" s="45" t="s">
        <v>686</v>
      </c>
      <c r="K9" s="46">
        <v>45394</v>
      </c>
      <c r="L9" s="45" t="s">
        <v>701</v>
      </c>
      <c r="M9" s="42" t="s">
        <v>718</v>
      </c>
      <c r="N9" s="46"/>
      <c r="O9" s="42" t="s">
        <v>744</v>
      </c>
      <c r="P9" s="42"/>
      <c r="Q9" s="45"/>
      <c r="R9" s="45"/>
      <c r="S9" s="42"/>
      <c r="T9" s="47"/>
      <c r="U9" s="45"/>
      <c r="V9" s="42"/>
      <c r="W9" s="42">
        <f t="shared" si="0"/>
        <v>1</v>
      </c>
      <c r="X9" s="42">
        <f t="shared" si="1"/>
        <v>0</v>
      </c>
      <c r="Y9" s="48">
        <f>Data_Base_Normalisation[[#This Row],[Normalisation Total]]-Data_Base_Normalisation[[#This Row],[Normalisation exécutée]]</f>
        <v>1</v>
      </c>
      <c r="Z9" s="42" t="str">
        <f t="shared" si="2"/>
        <v>mercredi</v>
      </c>
      <c r="AA9" s="42" t="str">
        <f t="shared" si="3"/>
        <v>10</v>
      </c>
      <c r="AB9" s="42" t="str">
        <f t="shared" si="4"/>
        <v>04</v>
      </c>
      <c r="AC9" s="42" t="str">
        <f t="shared" si="5"/>
        <v>2024</v>
      </c>
    </row>
    <row r="10" spans="1:29" x14ac:dyDescent="0.25">
      <c r="A10" s="41">
        <v>45392</v>
      </c>
      <c r="B10" s="42" t="s">
        <v>51</v>
      </c>
      <c r="C10" s="42" t="s">
        <v>908</v>
      </c>
      <c r="D10" s="42" t="s">
        <v>246</v>
      </c>
      <c r="E10" s="43" t="s">
        <v>435</v>
      </c>
      <c r="F10" s="44" t="s">
        <v>497</v>
      </c>
      <c r="G10" s="41"/>
      <c r="H10" s="42" t="s">
        <v>515</v>
      </c>
      <c r="I10" s="42" t="s">
        <v>668</v>
      </c>
      <c r="J10" s="45" t="s">
        <v>686</v>
      </c>
      <c r="K10" s="46">
        <v>45394</v>
      </c>
      <c r="L10" s="45" t="s">
        <v>702</v>
      </c>
      <c r="M10" s="42" t="s">
        <v>719</v>
      </c>
      <c r="N10" s="46"/>
      <c r="O10" s="42" t="s">
        <v>745</v>
      </c>
      <c r="P10" s="42"/>
      <c r="Q10" s="45"/>
      <c r="R10" s="45"/>
      <c r="S10" s="42"/>
      <c r="T10" s="47"/>
      <c r="U10" s="45"/>
      <c r="V10" s="42"/>
      <c r="W10" s="42">
        <f t="shared" si="0"/>
        <v>1</v>
      </c>
      <c r="X10" s="42">
        <f t="shared" si="1"/>
        <v>0</v>
      </c>
      <c r="Y10" s="48">
        <f>Data_Base_Normalisation[[#This Row],[Normalisation Total]]-Data_Base_Normalisation[[#This Row],[Normalisation exécutée]]</f>
        <v>1</v>
      </c>
      <c r="Z10" s="42" t="str">
        <f t="shared" si="2"/>
        <v>mercredi</v>
      </c>
      <c r="AA10" s="42" t="str">
        <f t="shared" si="3"/>
        <v>10</v>
      </c>
      <c r="AB10" s="42" t="str">
        <f t="shared" si="4"/>
        <v>04</v>
      </c>
      <c r="AC10" s="42" t="str">
        <f t="shared" si="5"/>
        <v>2024</v>
      </c>
    </row>
    <row r="11" spans="1:29" x14ac:dyDescent="0.25">
      <c r="A11" s="41">
        <v>45393</v>
      </c>
      <c r="B11" s="42" t="s">
        <v>52</v>
      </c>
      <c r="C11" s="42" t="s">
        <v>1</v>
      </c>
      <c r="D11" s="42" t="s">
        <v>247</v>
      </c>
      <c r="E11" s="43" t="s">
        <v>436</v>
      </c>
      <c r="F11" s="44" t="s">
        <v>498</v>
      </c>
      <c r="G11" s="41"/>
      <c r="H11" s="42" t="s">
        <v>516</v>
      </c>
      <c r="I11" s="42" t="s">
        <v>666</v>
      </c>
      <c r="J11" s="45" t="s">
        <v>684</v>
      </c>
      <c r="K11" s="46">
        <v>45411</v>
      </c>
      <c r="L11" s="45" t="s">
        <v>703</v>
      </c>
      <c r="M11" s="42" t="s">
        <v>720</v>
      </c>
      <c r="N11" s="46">
        <v>45393</v>
      </c>
      <c r="O11" s="42" t="s">
        <v>746</v>
      </c>
      <c r="P11" s="42" t="s">
        <v>792</v>
      </c>
      <c r="Q11" s="45"/>
      <c r="R11" s="45"/>
      <c r="S11" s="42"/>
      <c r="T11" s="47"/>
      <c r="U11" s="45">
        <v>1</v>
      </c>
      <c r="V11" s="42" t="s">
        <v>904</v>
      </c>
      <c r="W11" s="42">
        <f t="shared" si="0"/>
        <v>1</v>
      </c>
      <c r="X11" s="42">
        <f t="shared" si="1"/>
        <v>1</v>
      </c>
      <c r="Y11" s="48">
        <f>Data_Base_Normalisation[[#This Row],[Normalisation Total]]-Data_Base_Normalisation[[#This Row],[Normalisation exécutée]]</f>
        <v>0</v>
      </c>
      <c r="Z11" s="42" t="str">
        <f t="shared" si="2"/>
        <v>jeudi</v>
      </c>
      <c r="AA11" s="42" t="str">
        <f t="shared" si="3"/>
        <v>11</v>
      </c>
      <c r="AB11" s="42" t="str">
        <f t="shared" si="4"/>
        <v>04</v>
      </c>
      <c r="AC11" s="42" t="str">
        <f t="shared" si="5"/>
        <v>2024</v>
      </c>
    </row>
    <row r="12" spans="1:29" x14ac:dyDescent="0.25">
      <c r="A12" s="41">
        <v>45393</v>
      </c>
      <c r="B12" s="42" t="s">
        <v>53</v>
      </c>
      <c r="C12" s="42" t="s">
        <v>1</v>
      </c>
      <c r="D12" s="42" t="s">
        <v>248</v>
      </c>
      <c r="E12" s="43" t="s">
        <v>437</v>
      </c>
      <c r="F12" s="44" t="s">
        <v>498</v>
      </c>
      <c r="G12" s="41"/>
      <c r="H12" s="42" t="s">
        <v>517</v>
      </c>
      <c r="I12" s="42" t="s">
        <v>666</v>
      </c>
      <c r="J12" s="45" t="s">
        <v>684</v>
      </c>
      <c r="K12" s="46">
        <v>45394</v>
      </c>
      <c r="L12" s="45" t="s">
        <v>703</v>
      </c>
      <c r="M12" s="42" t="s">
        <v>720</v>
      </c>
      <c r="N12" s="46">
        <v>45393</v>
      </c>
      <c r="O12" s="42" t="s">
        <v>746</v>
      </c>
      <c r="P12" s="42" t="s">
        <v>793</v>
      </c>
      <c r="Q12" s="45"/>
      <c r="R12" s="45"/>
      <c r="S12" s="42"/>
      <c r="T12" s="47"/>
      <c r="U12" s="45">
        <v>1</v>
      </c>
      <c r="V12" s="42" t="s">
        <v>904</v>
      </c>
      <c r="W12" s="42">
        <f t="shared" si="0"/>
        <v>1</v>
      </c>
      <c r="X12" s="42">
        <f t="shared" si="1"/>
        <v>1</v>
      </c>
      <c r="Y12" s="48">
        <f>Data_Base_Normalisation[[#This Row],[Normalisation Total]]-Data_Base_Normalisation[[#This Row],[Normalisation exécutée]]</f>
        <v>0</v>
      </c>
      <c r="Z12" s="42" t="str">
        <f t="shared" si="2"/>
        <v>jeudi</v>
      </c>
      <c r="AA12" s="42" t="str">
        <f t="shared" si="3"/>
        <v>11</v>
      </c>
      <c r="AB12" s="42" t="str">
        <f t="shared" si="4"/>
        <v>04</v>
      </c>
      <c r="AC12" s="42" t="str">
        <f t="shared" si="5"/>
        <v>2024</v>
      </c>
    </row>
    <row r="13" spans="1:29" x14ac:dyDescent="0.25">
      <c r="A13" s="41">
        <v>45393</v>
      </c>
      <c r="B13" s="42" t="s">
        <v>54</v>
      </c>
      <c r="C13" s="42" t="s">
        <v>1</v>
      </c>
      <c r="D13" s="42" t="s">
        <v>249</v>
      </c>
      <c r="E13" s="43" t="s">
        <v>438</v>
      </c>
      <c r="F13" s="44" t="s">
        <v>498</v>
      </c>
      <c r="G13" s="41"/>
      <c r="H13" s="42" t="s">
        <v>518</v>
      </c>
      <c r="I13" s="42" t="s">
        <v>666</v>
      </c>
      <c r="J13" s="45" t="s">
        <v>684</v>
      </c>
      <c r="K13" s="46">
        <v>45395</v>
      </c>
      <c r="L13" s="45" t="s">
        <v>703</v>
      </c>
      <c r="M13" s="42" t="s">
        <v>720</v>
      </c>
      <c r="N13" s="46">
        <v>45393</v>
      </c>
      <c r="O13" s="42" t="s">
        <v>746</v>
      </c>
      <c r="P13" s="42" t="s">
        <v>794</v>
      </c>
      <c r="Q13" s="45"/>
      <c r="R13" s="45"/>
      <c r="S13" s="42"/>
      <c r="T13" s="47"/>
      <c r="U13" s="45">
        <v>1</v>
      </c>
      <c r="V13" s="42" t="s">
        <v>904</v>
      </c>
      <c r="W13" s="42">
        <f t="shared" si="0"/>
        <v>1</v>
      </c>
      <c r="X13" s="42">
        <f t="shared" si="1"/>
        <v>1</v>
      </c>
      <c r="Y13" s="48">
        <f>Data_Base_Normalisation[[#This Row],[Normalisation Total]]-Data_Base_Normalisation[[#This Row],[Normalisation exécutée]]</f>
        <v>0</v>
      </c>
      <c r="Z13" s="42" t="str">
        <f t="shared" si="2"/>
        <v>jeudi</v>
      </c>
      <c r="AA13" s="42" t="str">
        <f t="shared" si="3"/>
        <v>11</v>
      </c>
      <c r="AB13" s="42" t="str">
        <f t="shared" si="4"/>
        <v>04</v>
      </c>
      <c r="AC13" s="42" t="str">
        <f t="shared" si="5"/>
        <v>2024</v>
      </c>
    </row>
    <row r="14" spans="1:29" x14ac:dyDescent="0.25">
      <c r="A14" s="41">
        <v>45393</v>
      </c>
      <c r="B14" s="42" t="s">
        <v>55</v>
      </c>
      <c r="C14" s="42" t="s">
        <v>1</v>
      </c>
      <c r="D14" s="42" t="s">
        <v>250</v>
      </c>
      <c r="E14" s="43" t="s">
        <v>439</v>
      </c>
      <c r="F14" s="44" t="s">
        <v>498</v>
      </c>
      <c r="G14" s="41"/>
      <c r="H14" s="42" t="s">
        <v>519</v>
      </c>
      <c r="I14" s="42" t="s">
        <v>666</v>
      </c>
      <c r="J14" s="45" t="s">
        <v>684</v>
      </c>
      <c r="K14" s="46">
        <v>45397</v>
      </c>
      <c r="L14" s="45" t="s">
        <v>700</v>
      </c>
      <c r="M14" s="42" t="s">
        <v>10</v>
      </c>
      <c r="N14" s="46">
        <v>45393</v>
      </c>
      <c r="O14" s="42" t="s">
        <v>743</v>
      </c>
      <c r="P14" s="42" t="s">
        <v>795</v>
      </c>
      <c r="Q14" s="45"/>
      <c r="R14" s="45"/>
      <c r="S14" s="42"/>
      <c r="T14" s="47"/>
      <c r="U14" s="45">
        <v>1</v>
      </c>
      <c r="V14" s="42" t="s">
        <v>904</v>
      </c>
      <c r="W14" s="42">
        <f t="shared" si="0"/>
        <v>1</v>
      </c>
      <c r="X14" s="42">
        <f t="shared" si="1"/>
        <v>1</v>
      </c>
      <c r="Y14" s="48">
        <f>Data_Base_Normalisation[[#This Row],[Normalisation Total]]-Data_Base_Normalisation[[#This Row],[Normalisation exécutée]]</f>
        <v>0</v>
      </c>
      <c r="Z14" s="42" t="str">
        <f t="shared" si="2"/>
        <v>jeudi</v>
      </c>
      <c r="AA14" s="42" t="str">
        <f t="shared" si="3"/>
        <v>11</v>
      </c>
      <c r="AB14" s="42" t="str">
        <f t="shared" si="4"/>
        <v>04</v>
      </c>
      <c r="AC14" s="42" t="str">
        <f t="shared" si="5"/>
        <v>2024</v>
      </c>
    </row>
    <row r="15" spans="1:29" x14ac:dyDescent="0.25">
      <c r="A15" s="41">
        <v>45393</v>
      </c>
      <c r="B15" s="42" t="s">
        <v>56</v>
      </c>
      <c r="C15" s="42" t="s">
        <v>1</v>
      </c>
      <c r="D15" s="42" t="s">
        <v>251</v>
      </c>
      <c r="E15" s="43" t="s">
        <v>440</v>
      </c>
      <c r="F15" s="44" t="s">
        <v>498</v>
      </c>
      <c r="G15" s="41"/>
      <c r="H15" s="42" t="s">
        <v>520</v>
      </c>
      <c r="I15" s="42" t="s">
        <v>666</v>
      </c>
      <c r="J15" s="45" t="s">
        <v>684</v>
      </c>
      <c r="K15" s="46">
        <v>45395</v>
      </c>
      <c r="L15" s="45" t="s">
        <v>697</v>
      </c>
      <c r="M15" s="42" t="s">
        <v>15</v>
      </c>
      <c r="N15" s="46">
        <v>45393</v>
      </c>
      <c r="O15" s="42" t="s">
        <v>741</v>
      </c>
      <c r="P15" s="42" t="s">
        <v>796</v>
      </c>
      <c r="Q15" s="45"/>
      <c r="R15" s="45"/>
      <c r="S15" s="42"/>
      <c r="T15" s="47"/>
      <c r="U15" s="45">
        <v>1</v>
      </c>
      <c r="V15" s="42" t="s">
        <v>904</v>
      </c>
      <c r="W15" s="42">
        <f t="shared" si="0"/>
        <v>1</v>
      </c>
      <c r="X15" s="42">
        <f t="shared" si="1"/>
        <v>1</v>
      </c>
      <c r="Y15" s="48">
        <f>Data_Base_Normalisation[[#This Row],[Normalisation Total]]-Data_Base_Normalisation[[#This Row],[Normalisation exécutée]]</f>
        <v>0</v>
      </c>
      <c r="Z15" s="42" t="str">
        <f t="shared" si="2"/>
        <v>jeudi</v>
      </c>
      <c r="AA15" s="42" t="str">
        <f t="shared" si="3"/>
        <v>11</v>
      </c>
      <c r="AB15" s="42" t="str">
        <f t="shared" si="4"/>
        <v>04</v>
      </c>
      <c r="AC15" s="42" t="str">
        <f t="shared" si="5"/>
        <v>2024</v>
      </c>
    </row>
    <row r="16" spans="1:29" x14ac:dyDescent="0.25">
      <c r="A16" s="41">
        <v>45393</v>
      </c>
      <c r="B16" s="42" t="s">
        <v>57</v>
      </c>
      <c r="C16" s="42" t="s">
        <v>1</v>
      </c>
      <c r="D16" s="42" t="s">
        <v>252</v>
      </c>
      <c r="E16" s="43" t="s">
        <v>441</v>
      </c>
      <c r="F16" s="44" t="s">
        <v>498</v>
      </c>
      <c r="G16" s="41"/>
      <c r="H16" s="42"/>
      <c r="I16" s="42" t="s">
        <v>666</v>
      </c>
      <c r="J16" s="45" t="s">
        <v>684</v>
      </c>
      <c r="K16" s="46">
        <v>45397</v>
      </c>
      <c r="L16" s="45" t="s">
        <v>704</v>
      </c>
      <c r="M16" s="42" t="s">
        <v>12</v>
      </c>
      <c r="N16" s="46">
        <v>45393</v>
      </c>
      <c r="O16" s="42" t="s">
        <v>747</v>
      </c>
      <c r="P16" s="42" t="s">
        <v>797</v>
      </c>
      <c r="Q16" s="45"/>
      <c r="R16" s="45"/>
      <c r="S16" s="42"/>
      <c r="T16" s="47"/>
      <c r="U16" s="45">
        <v>1</v>
      </c>
      <c r="V16" s="42" t="s">
        <v>904</v>
      </c>
      <c r="W16" s="42">
        <f t="shared" si="0"/>
        <v>1</v>
      </c>
      <c r="X16" s="42">
        <f t="shared" si="1"/>
        <v>1</v>
      </c>
      <c r="Y16" s="48">
        <f>Data_Base_Normalisation[[#This Row],[Normalisation Total]]-Data_Base_Normalisation[[#This Row],[Normalisation exécutée]]</f>
        <v>0</v>
      </c>
      <c r="Z16" s="42" t="str">
        <f t="shared" si="2"/>
        <v>jeudi</v>
      </c>
      <c r="AA16" s="42" t="str">
        <f t="shared" si="3"/>
        <v>11</v>
      </c>
      <c r="AB16" s="42" t="str">
        <f t="shared" si="4"/>
        <v>04</v>
      </c>
      <c r="AC16" s="42" t="str">
        <f t="shared" si="5"/>
        <v>2024</v>
      </c>
    </row>
    <row r="17" spans="1:29" x14ac:dyDescent="0.25">
      <c r="A17" s="41">
        <v>45393</v>
      </c>
      <c r="B17" s="42" t="s">
        <v>58</v>
      </c>
      <c r="C17" s="42" t="s">
        <v>1</v>
      </c>
      <c r="D17" s="42" t="s">
        <v>253</v>
      </c>
      <c r="E17" s="43" t="s">
        <v>442</v>
      </c>
      <c r="F17" s="44" t="s">
        <v>500</v>
      </c>
      <c r="G17" s="41"/>
      <c r="H17" s="42" t="s">
        <v>521</v>
      </c>
      <c r="I17" s="42" t="s">
        <v>666</v>
      </c>
      <c r="J17" s="45" t="s">
        <v>684</v>
      </c>
      <c r="K17" s="46">
        <v>45397</v>
      </c>
      <c r="L17" s="45" t="s">
        <v>704</v>
      </c>
      <c r="M17" s="42" t="s">
        <v>12</v>
      </c>
      <c r="N17" s="46">
        <v>45393</v>
      </c>
      <c r="O17" s="42" t="s">
        <v>747</v>
      </c>
      <c r="P17" s="42" t="s">
        <v>798</v>
      </c>
      <c r="Q17" s="45"/>
      <c r="R17" s="45"/>
      <c r="S17" s="42"/>
      <c r="T17" s="47"/>
      <c r="U17" s="45">
        <v>1</v>
      </c>
      <c r="V17" s="42" t="s">
        <v>904</v>
      </c>
      <c r="W17" s="42">
        <f t="shared" si="0"/>
        <v>1</v>
      </c>
      <c r="X17" s="42">
        <f t="shared" si="1"/>
        <v>1</v>
      </c>
      <c r="Y17" s="48">
        <f>Data_Base_Normalisation[[#This Row],[Normalisation Total]]-Data_Base_Normalisation[[#This Row],[Normalisation exécutée]]</f>
        <v>0</v>
      </c>
      <c r="Z17" s="42" t="str">
        <f t="shared" si="2"/>
        <v>jeudi</v>
      </c>
      <c r="AA17" s="42" t="str">
        <f t="shared" si="3"/>
        <v>11</v>
      </c>
      <c r="AB17" s="42" t="str">
        <f t="shared" si="4"/>
        <v>04</v>
      </c>
      <c r="AC17" s="42" t="str">
        <f t="shared" si="5"/>
        <v>2024</v>
      </c>
    </row>
    <row r="18" spans="1:29" x14ac:dyDescent="0.25">
      <c r="A18" s="41">
        <v>45393</v>
      </c>
      <c r="B18" s="42" t="s">
        <v>59</v>
      </c>
      <c r="C18" s="42" t="s">
        <v>1</v>
      </c>
      <c r="D18" s="42" t="s">
        <v>254</v>
      </c>
      <c r="E18" s="43" t="s">
        <v>443</v>
      </c>
      <c r="F18" s="44" t="s">
        <v>497</v>
      </c>
      <c r="G18" s="41"/>
      <c r="H18" s="42" t="s">
        <v>522</v>
      </c>
      <c r="I18" s="42" t="s">
        <v>666</v>
      </c>
      <c r="J18" s="45" t="s">
        <v>684</v>
      </c>
      <c r="K18" s="46">
        <v>45394</v>
      </c>
      <c r="L18" s="45" t="s">
        <v>697</v>
      </c>
      <c r="M18" s="42" t="s">
        <v>15</v>
      </c>
      <c r="N18" s="46">
        <v>45393</v>
      </c>
      <c r="O18" s="42" t="s">
        <v>741</v>
      </c>
      <c r="P18" s="42" t="s">
        <v>799</v>
      </c>
      <c r="Q18" s="45"/>
      <c r="R18" s="45"/>
      <c r="S18" s="42"/>
      <c r="T18" s="47"/>
      <c r="U18" s="45">
        <v>1</v>
      </c>
      <c r="V18" s="42" t="s">
        <v>904</v>
      </c>
      <c r="W18" s="42">
        <f t="shared" si="0"/>
        <v>1</v>
      </c>
      <c r="X18" s="42">
        <f t="shared" si="1"/>
        <v>1</v>
      </c>
      <c r="Y18" s="48">
        <f>Data_Base_Normalisation[[#This Row],[Normalisation Total]]-Data_Base_Normalisation[[#This Row],[Normalisation exécutée]]</f>
        <v>0</v>
      </c>
      <c r="Z18" s="42" t="str">
        <f t="shared" si="2"/>
        <v>jeudi</v>
      </c>
      <c r="AA18" s="42" t="str">
        <f t="shared" si="3"/>
        <v>11</v>
      </c>
      <c r="AB18" s="42" t="str">
        <f t="shared" si="4"/>
        <v>04</v>
      </c>
      <c r="AC18" s="42" t="str">
        <f t="shared" si="5"/>
        <v>2024</v>
      </c>
    </row>
    <row r="19" spans="1:29" x14ac:dyDescent="0.25">
      <c r="A19" s="41">
        <v>45393</v>
      </c>
      <c r="B19" s="42" t="s">
        <v>60</v>
      </c>
      <c r="C19" s="42" t="s">
        <v>1</v>
      </c>
      <c r="D19" s="42" t="s">
        <v>255</v>
      </c>
      <c r="E19" s="43" t="s">
        <v>444</v>
      </c>
      <c r="F19" s="44" t="s">
        <v>498</v>
      </c>
      <c r="G19" s="41"/>
      <c r="H19" s="42" t="s">
        <v>523</v>
      </c>
      <c r="I19" s="42" t="s">
        <v>666</v>
      </c>
      <c r="J19" s="45" t="s">
        <v>684</v>
      </c>
      <c r="K19" s="46">
        <v>45394</v>
      </c>
      <c r="L19" s="45" t="s">
        <v>704</v>
      </c>
      <c r="M19" s="42" t="s">
        <v>12</v>
      </c>
      <c r="N19" s="46">
        <v>45393</v>
      </c>
      <c r="O19" s="42" t="s">
        <v>747</v>
      </c>
      <c r="P19" s="42" t="s">
        <v>800</v>
      </c>
      <c r="Q19" s="45"/>
      <c r="R19" s="45"/>
      <c r="S19" s="42"/>
      <c r="T19" s="47"/>
      <c r="U19" s="45">
        <v>1</v>
      </c>
      <c r="V19" s="42" t="s">
        <v>904</v>
      </c>
      <c r="W19" s="42">
        <f t="shared" si="0"/>
        <v>1</v>
      </c>
      <c r="X19" s="42">
        <f t="shared" si="1"/>
        <v>1</v>
      </c>
      <c r="Y19" s="48">
        <f>Data_Base_Normalisation[[#This Row],[Normalisation Total]]-Data_Base_Normalisation[[#This Row],[Normalisation exécutée]]</f>
        <v>0</v>
      </c>
      <c r="Z19" s="42" t="str">
        <f t="shared" si="2"/>
        <v>jeudi</v>
      </c>
      <c r="AA19" s="42" t="str">
        <f t="shared" si="3"/>
        <v>11</v>
      </c>
      <c r="AB19" s="42" t="str">
        <f t="shared" si="4"/>
        <v>04</v>
      </c>
      <c r="AC19" s="42" t="str">
        <f t="shared" si="5"/>
        <v>2024</v>
      </c>
    </row>
    <row r="20" spans="1:29" x14ac:dyDescent="0.25">
      <c r="A20" s="41">
        <v>45393</v>
      </c>
      <c r="B20" s="42" t="s">
        <v>61</v>
      </c>
      <c r="C20" s="42" t="s">
        <v>1</v>
      </c>
      <c r="D20" s="42" t="s">
        <v>256</v>
      </c>
      <c r="E20" s="43" t="s">
        <v>445</v>
      </c>
      <c r="F20" s="44" t="s">
        <v>498</v>
      </c>
      <c r="G20" s="41"/>
      <c r="H20" s="42"/>
      <c r="I20" s="42" t="s">
        <v>666</v>
      </c>
      <c r="J20" s="45" t="s">
        <v>684</v>
      </c>
      <c r="K20" s="46">
        <v>45394</v>
      </c>
      <c r="L20" s="45" t="s">
        <v>697</v>
      </c>
      <c r="M20" s="42" t="s">
        <v>15</v>
      </c>
      <c r="N20" s="46">
        <v>45393</v>
      </c>
      <c r="O20" s="42" t="s">
        <v>741</v>
      </c>
      <c r="P20" s="42" t="s">
        <v>801</v>
      </c>
      <c r="Q20" s="45"/>
      <c r="R20" s="45"/>
      <c r="S20" s="42"/>
      <c r="T20" s="47"/>
      <c r="U20" s="45">
        <v>1</v>
      </c>
      <c r="V20" s="42" t="s">
        <v>904</v>
      </c>
      <c r="W20" s="42">
        <f t="shared" si="0"/>
        <v>1</v>
      </c>
      <c r="X20" s="42">
        <f t="shared" si="1"/>
        <v>1</v>
      </c>
      <c r="Y20" s="48">
        <f>Data_Base_Normalisation[[#This Row],[Normalisation Total]]-Data_Base_Normalisation[[#This Row],[Normalisation exécutée]]</f>
        <v>0</v>
      </c>
      <c r="Z20" s="42" t="str">
        <f t="shared" si="2"/>
        <v>jeudi</v>
      </c>
      <c r="AA20" s="42" t="str">
        <f t="shared" si="3"/>
        <v>11</v>
      </c>
      <c r="AB20" s="42" t="str">
        <f t="shared" si="4"/>
        <v>04</v>
      </c>
      <c r="AC20" s="42" t="str">
        <f t="shared" si="5"/>
        <v>2024</v>
      </c>
    </row>
    <row r="21" spans="1:29" x14ac:dyDescent="0.25">
      <c r="A21" s="41">
        <v>45394</v>
      </c>
      <c r="B21" s="42" t="s">
        <v>62</v>
      </c>
      <c r="C21" s="42" t="s">
        <v>9</v>
      </c>
      <c r="D21" s="42" t="s">
        <v>257</v>
      </c>
      <c r="E21" s="43" t="s">
        <v>446</v>
      </c>
      <c r="F21" s="44" t="s">
        <v>497</v>
      </c>
      <c r="G21" s="41"/>
      <c r="H21" s="42" t="s">
        <v>524</v>
      </c>
      <c r="I21" s="42" t="s">
        <v>667</v>
      </c>
      <c r="J21" s="45" t="s">
        <v>685</v>
      </c>
      <c r="K21" s="46">
        <v>45419</v>
      </c>
      <c r="L21" s="45"/>
      <c r="M21" s="42" t="s">
        <v>721</v>
      </c>
      <c r="N21" s="46">
        <v>45394</v>
      </c>
      <c r="O21" s="42" t="s">
        <v>748</v>
      </c>
      <c r="P21" s="42" t="s">
        <v>802</v>
      </c>
      <c r="Q21" s="45">
        <v>6415</v>
      </c>
      <c r="R21" s="45">
        <v>0</v>
      </c>
      <c r="S21" s="42"/>
      <c r="T21" s="47">
        <v>45394</v>
      </c>
      <c r="U21" s="45">
        <v>1</v>
      </c>
      <c r="V21" s="42" t="s">
        <v>904</v>
      </c>
      <c r="W21" s="42">
        <f t="shared" si="0"/>
        <v>1</v>
      </c>
      <c r="X21" s="42">
        <f t="shared" si="1"/>
        <v>1</v>
      </c>
      <c r="Y21" s="48">
        <f>Data_Base_Normalisation[[#This Row],[Normalisation Total]]-Data_Base_Normalisation[[#This Row],[Normalisation exécutée]]</f>
        <v>0</v>
      </c>
      <c r="Z21" s="42" t="str">
        <f t="shared" si="2"/>
        <v>vendredi</v>
      </c>
      <c r="AA21" s="42" t="str">
        <f t="shared" si="3"/>
        <v>12</v>
      </c>
      <c r="AB21" s="42" t="str">
        <f t="shared" si="4"/>
        <v>04</v>
      </c>
      <c r="AC21" s="42" t="str">
        <f t="shared" si="5"/>
        <v>2024</v>
      </c>
    </row>
    <row r="22" spans="1:29" x14ac:dyDescent="0.25">
      <c r="A22" s="41">
        <v>45394</v>
      </c>
      <c r="B22" s="42" t="s">
        <v>63</v>
      </c>
      <c r="C22" s="42" t="s">
        <v>9</v>
      </c>
      <c r="D22" s="42" t="s">
        <v>258</v>
      </c>
      <c r="E22" s="43" t="s">
        <v>447</v>
      </c>
      <c r="F22" s="44" t="s">
        <v>497</v>
      </c>
      <c r="G22" s="41"/>
      <c r="H22" s="42" t="s">
        <v>525</v>
      </c>
      <c r="I22" s="42" t="s">
        <v>669</v>
      </c>
      <c r="J22" s="45" t="s">
        <v>685</v>
      </c>
      <c r="K22" s="46">
        <v>45394</v>
      </c>
      <c r="L22" s="45"/>
      <c r="M22" s="42" t="s">
        <v>722</v>
      </c>
      <c r="N22" s="46">
        <v>45394</v>
      </c>
      <c r="O22" s="42" t="s">
        <v>749</v>
      </c>
      <c r="P22" s="42" t="s">
        <v>803</v>
      </c>
      <c r="Q22" s="45">
        <v>0</v>
      </c>
      <c r="R22" s="45">
        <v>0</v>
      </c>
      <c r="S22" s="42"/>
      <c r="T22" s="47">
        <v>45393</v>
      </c>
      <c r="U22" s="45">
        <v>1</v>
      </c>
      <c r="V22" s="42" t="s">
        <v>905</v>
      </c>
      <c r="W22" s="42">
        <f t="shared" si="0"/>
        <v>1</v>
      </c>
      <c r="X22" s="42">
        <f t="shared" si="1"/>
        <v>1</v>
      </c>
      <c r="Y22" s="48">
        <f>Data_Base_Normalisation[[#This Row],[Normalisation Total]]-Data_Base_Normalisation[[#This Row],[Normalisation exécutée]]</f>
        <v>0</v>
      </c>
      <c r="Z22" s="42" t="str">
        <f t="shared" si="2"/>
        <v>vendredi</v>
      </c>
      <c r="AA22" s="42" t="str">
        <f t="shared" si="3"/>
        <v>12</v>
      </c>
      <c r="AB22" s="42" t="str">
        <f t="shared" si="4"/>
        <v>04</v>
      </c>
      <c r="AC22" s="42" t="str">
        <f t="shared" si="5"/>
        <v>2024</v>
      </c>
    </row>
    <row r="23" spans="1:29" x14ac:dyDescent="0.25">
      <c r="A23" s="41">
        <v>45394</v>
      </c>
      <c r="B23" s="42" t="s">
        <v>64</v>
      </c>
      <c r="C23" s="42" t="s">
        <v>1</v>
      </c>
      <c r="D23" s="42" t="s">
        <v>259</v>
      </c>
      <c r="E23" s="43" t="s">
        <v>448</v>
      </c>
      <c r="F23" s="44" t="s">
        <v>497</v>
      </c>
      <c r="G23" s="41"/>
      <c r="H23" s="42" t="s">
        <v>526</v>
      </c>
      <c r="I23" s="42" t="s">
        <v>669</v>
      </c>
      <c r="J23" s="45" t="s">
        <v>685</v>
      </c>
      <c r="K23" s="46">
        <v>45419</v>
      </c>
      <c r="L23" s="45"/>
      <c r="M23" s="42" t="s">
        <v>723</v>
      </c>
      <c r="N23" s="46">
        <v>45394</v>
      </c>
      <c r="O23" s="42" t="s">
        <v>750</v>
      </c>
      <c r="P23" s="42" t="s">
        <v>804</v>
      </c>
      <c r="Q23" s="45">
        <v>0</v>
      </c>
      <c r="R23" s="45">
        <v>0</v>
      </c>
      <c r="S23" s="42"/>
      <c r="T23" s="47">
        <v>45394</v>
      </c>
      <c r="U23" s="45">
        <v>1</v>
      </c>
      <c r="V23" s="42" t="s">
        <v>905</v>
      </c>
      <c r="W23" s="42">
        <f t="shared" si="0"/>
        <v>1</v>
      </c>
      <c r="X23" s="42">
        <f t="shared" si="1"/>
        <v>1</v>
      </c>
      <c r="Y23" s="48">
        <f>Data_Base_Normalisation[[#This Row],[Normalisation Total]]-Data_Base_Normalisation[[#This Row],[Normalisation exécutée]]</f>
        <v>0</v>
      </c>
      <c r="Z23" s="42" t="str">
        <f t="shared" si="2"/>
        <v>vendredi</v>
      </c>
      <c r="AA23" s="42" t="str">
        <f t="shared" si="3"/>
        <v>12</v>
      </c>
      <c r="AB23" s="42" t="str">
        <f t="shared" si="4"/>
        <v>04</v>
      </c>
      <c r="AC23" s="42" t="str">
        <f t="shared" si="5"/>
        <v>2024</v>
      </c>
    </row>
    <row r="24" spans="1:29" x14ac:dyDescent="0.25">
      <c r="A24" s="41">
        <v>45394</v>
      </c>
      <c r="B24" s="42" t="s">
        <v>65</v>
      </c>
      <c r="C24" s="42" t="s">
        <v>908</v>
      </c>
      <c r="D24" s="42" t="s">
        <v>260</v>
      </c>
      <c r="E24" s="43" t="s">
        <v>449</v>
      </c>
      <c r="F24" s="44" t="s">
        <v>499</v>
      </c>
      <c r="G24" s="41"/>
      <c r="H24" s="42"/>
      <c r="I24" s="42" t="s">
        <v>669</v>
      </c>
      <c r="J24" s="45" t="s">
        <v>685</v>
      </c>
      <c r="K24" s="46">
        <v>45419</v>
      </c>
      <c r="L24" s="45"/>
      <c r="M24" s="42" t="s">
        <v>724</v>
      </c>
      <c r="N24" s="46">
        <v>45394</v>
      </c>
      <c r="O24" s="42" t="s">
        <v>751</v>
      </c>
      <c r="P24" s="42" t="s">
        <v>805</v>
      </c>
      <c r="Q24" s="45" t="s">
        <v>898</v>
      </c>
      <c r="R24" s="45">
        <v>0</v>
      </c>
      <c r="S24" s="42"/>
      <c r="T24" s="47">
        <v>45394</v>
      </c>
      <c r="U24" s="45">
        <v>1</v>
      </c>
      <c r="V24" s="42" t="s">
        <v>904</v>
      </c>
      <c r="W24" s="42">
        <f t="shared" si="0"/>
        <v>1</v>
      </c>
      <c r="X24" s="42">
        <f t="shared" si="1"/>
        <v>1</v>
      </c>
      <c r="Y24" s="48">
        <f>Data_Base_Normalisation[[#This Row],[Normalisation Total]]-Data_Base_Normalisation[[#This Row],[Normalisation exécutée]]</f>
        <v>0</v>
      </c>
      <c r="Z24" s="42" t="str">
        <f t="shared" si="2"/>
        <v>vendredi</v>
      </c>
      <c r="AA24" s="42" t="str">
        <f t="shared" si="3"/>
        <v>12</v>
      </c>
      <c r="AB24" s="42" t="str">
        <f t="shared" si="4"/>
        <v>04</v>
      </c>
      <c r="AC24" s="42" t="str">
        <f t="shared" si="5"/>
        <v>2024</v>
      </c>
    </row>
    <row r="25" spans="1:29" x14ac:dyDescent="0.25">
      <c r="A25" s="41">
        <v>45394</v>
      </c>
      <c r="B25" s="42" t="s">
        <v>66</v>
      </c>
      <c r="C25" s="42" t="s">
        <v>908</v>
      </c>
      <c r="D25" s="42" t="s">
        <v>261</v>
      </c>
      <c r="E25" s="43" t="s">
        <v>450</v>
      </c>
      <c r="F25" s="44" t="s">
        <v>497</v>
      </c>
      <c r="G25" s="41"/>
      <c r="H25" s="42" t="s">
        <v>527</v>
      </c>
      <c r="I25" s="42" t="s">
        <v>669</v>
      </c>
      <c r="J25" s="45" t="s">
        <v>685</v>
      </c>
      <c r="K25" s="46">
        <v>45394</v>
      </c>
      <c r="L25" s="45"/>
      <c r="M25" s="42" t="s">
        <v>722</v>
      </c>
      <c r="N25" s="46">
        <v>45394</v>
      </c>
      <c r="O25" s="42" t="s">
        <v>749</v>
      </c>
      <c r="P25" s="42" t="s">
        <v>806</v>
      </c>
      <c r="Q25" s="45" t="s">
        <v>899</v>
      </c>
      <c r="R25" s="45">
        <v>0</v>
      </c>
      <c r="S25" s="42"/>
      <c r="T25" s="47">
        <v>45395</v>
      </c>
      <c r="U25" s="45">
        <v>1</v>
      </c>
      <c r="V25" s="42" t="s">
        <v>905</v>
      </c>
      <c r="W25" s="42">
        <f t="shared" si="0"/>
        <v>1</v>
      </c>
      <c r="X25" s="42">
        <f t="shared" si="1"/>
        <v>1</v>
      </c>
      <c r="Y25" s="48">
        <f>Data_Base_Normalisation[[#This Row],[Normalisation Total]]-Data_Base_Normalisation[[#This Row],[Normalisation exécutée]]</f>
        <v>0</v>
      </c>
      <c r="Z25" s="42" t="str">
        <f t="shared" si="2"/>
        <v>vendredi</v>
      </c>
      <c r="AA25" s="42" t="str">
        <f t="shared" si="3"/>
        <v>12</v>
      </c>
      <c r="AB25" s="42" t="str">
        <f t="shared" si="4"/>
        <v>04</v>
      </c>
      <c r="AC25" s="42" t="str">
        <f t="shared" si="5"/>
        <v>2024</v>
      </c>
    </row>
    <row r="26" spans="1:29" x14ac:dyDescent="0.25">
      <c r="A26" s="41">
        <v>45394</v>
      </c>
      <c r="B26" s="42" t="s">
        <v>67</v>
      </c>
      <c r="C26" s="42" t="s">
        <v>908</v>
      </c>
      <c r="D26" s="42" t="s">
        <v>262</v>
      </c>
      <c r="E26" s="43" t="s">
        <v>451</v>
      </c>
      <c r="F26" s="44" t="s">
        <v>501</v>
      </c>
      <c r="G26" s="41"/>
      <c r="H26" s="42" t="s">
        <v>528</v>
      </c>
      <c r="I26" s="42" t="s">
        <v>669</v>
      </c>
      <c r="J26" s="45" t="s">
        <v>685</v>
      </c>
      <c r="K26" s="46">
        <v>45394</v>
      </c>
      <c r="L26" s="45"/>
      <c r="M26" s="42" t="s">
        <v>724</v>
      </c>
      <c r="N26" s="46">
        <v>45394</v>
      </c>
      <c r="O26" s="42" t="s">
        <v>751</v>
      </c>
      <c r="P26" s="42" t="s">
        <v>805</v>
      </c>
      <c r="Q26" s="45">
        <v>60</v>
      </c>
      <c r="R26" s="45"/>
      <c r="S26" s="42"/>
      <c r="T26" s="47">
        <v>45394</v>
      </c>
      <c r="U26" s="45">
        <v>1</v>
      </c>
      <c r="V26" s="42" t="s">
        <v>905</v>
      </c>
      <c r="W26" s="42">
        <f t="shared" si="0"/>
        <v>1</v>
      </c>
      <c r="X26" s="42">
        <f t="shared" si="1"/>
        <v>1</v>
      </c>
      <c r="Y26" s="48">
        <f>Data_Base_Normalisation[[#This Row],[Normalisation Total]]-Data_Base_Normalisation[[#This Row],[Normalisation exécutée]]</f>
        <v>0</v>
      </c>
      <c r="Z26" s="42" t="str">
        <f t="shared" si="2"/>
        <v>vendredi</v>
      </c>
      <c r="AA26" s="42" t="str">
        <f t="shared" si="3"/>
        <v>12</v>
      </c>
      <c r="AB26" s="42" t="str">
        <f t="shared" si="4"/>
        <v>04</v>
      </c>
      <c r="AC26" s="42" t="str">
        <f t="shared" si="5"/>
        <v>2024</v>
      </c>
    </row>
    <row r="27" spans="1:29" x14ac:dyDescent="0.25">
      <c r="A27" s="41">
        <v>45394</v>
      </c>
      <c r="B27" s="42" t="s">
        <v>68</v>
      </c>
      <c r="C27" s="42" t="s">
        <v>908</v>
      </c>
      <c r="D27" s="42" t="s">
        <v>263</v>
      </c>
      <c r="E27" s="43" t="s">
        <v>452</v>
      </c>
      <c r="F27" s="44" t="s">
        <v>497</v>
      </c>
      <c r="G27" s="41"/>
      <c r="H27" s="42"/>
      <c r="I27" s="42" t="s">
        <v>669</v>
      </c>
      <c r="J27" s="45" t="s">
        <v>685</v>
      </c>
      <c r="K27" s="46">
        <v>45394</v>
      </c>
      <c r="L27" s="45"/>
      <c r="M27" s="42" t="s">
        <v>724</v>
      </c>
      <c r="N27" s="46">
        <v>45394</v>
      </c>
      <c r="O27" s="42" t="s">
        <v>751</v>
      </c>
      <c r="P27" s="42" t="s">
        <v>805</v>
      </c>
      <c r="Q27" s="45">
        <v>5</v>
      </c>
      <c r="R27" s="45">
        <v>0</v>
      </c>
      <c r="S27" s="42"/>
      <c r="T27" s="47">
        <v>45395</v>
      </c>
      <c r="U27" s="45">
        <v>1</v>
      </c>
      <c r="V27" s="42" t="s">
        <v>905</v>
      </c>
      <c r="W27" s="42">
        <f t="shared" si="0"/>
        <v>1</v>
      </c>
      <c r="X27" s="42">
        <f t="shared" si="1"/>
        <v>1</v>
      </c>
      <c r="Y27" s="48">
        <f>Data_Base_Normalisation[[#This Row],[Normalisation Total]]-Data_Base_Normalisation[[#This Row],[Normalisation exécutée]]</f>
        <v>0</v>
      </c>
      <c r="Z27" s="42" t="str">
        <f t="shared" si="2"/>
        <v>vendredi</v>
      </c>
      <c r="AA27" s="42" t="str">
        <f t="shared" si="3"/>
        <v>12</v>
      </c>
      <c r="AB27" s="42" t="str">
        <f t="shared" si="4"/>
        <v>04</v>
      </c>
      <c r="AC27" s="42" t="str">
        <f t="shared" si="5"/>
        <v>2024</v>
      </c>
    </row>
    <row r="28" spans="1:29" x14ac:dyDescent="0.25">
      <c r="A28" s="41">
        <v>45394</v>
      </c>
      <c r="B28" s="42" t="s">
        <v>69</v>
      </c>
      <c r="C28" s="42" t="s">
        <v>908</v>
      </c>
      <c r="D28" s="42" t="s">
        <v>264</v>
      </c>
      <c r="E28" s="43" t="s">
        <v>453</v>
      </c>
      <c r="F28" s="44" t="s">
        <v>497</v>
      </c>
      <c r="G28" s="41"/>
      <c r="H28" s="42"/>
      <c r="I28" s="42" t="s">
        <v>666</v>
      </c>
      <c r="J28" s="45" t="s">
        <v>685</v>
      </c>
      <c r="K28" s="46">
        <v>45394</v>
      </c>
      <c r="L28" s="45"/>
      <c r="M28" s="42" t="s">
        <v>724</v>
      </c>
      <c r="N28" s="46">
        <v>45394</v>
      </c>
      <c r="O28" s="42" t="s">
        <v>751</v>
      </c>
      <c r="P28" s="42" t="s">
        <v>807</v>
      </c>
      <c r="Q28" s="45">
        <v>0</v>
      </c>
      <c r="R28" s="45">
        <v>0</v>
      </c>
      <c r="S28" s="42"/>
      <c r="T28" s="47">
        <v>45394</v>
      </c>
      <c r="U28" s="45">
        <v>1</v>
      </c>
      <c r="V28" s="42" t="s">
        <v>905</v>
      </c>
      <c r="W28" s="42">
        <f t="shared" si="0"/>
        <v>1</v>
      </c>
      <c r="X28" s="42">
        <f t="shared" si="1"/>
        <v>1</v>
      </c>
      <c r="Y28" s="48">
        <f>Data_Base_Normalisation[[#This Row],[Normalisation Total]]-Data_Base_Normalisation[[#This Row],[Normalisation exécutée]]</f>
        <v>0</v>
      </c>
      <c r="Z28" s="42" t="str">
        <f t="shared" si="2"/>
        <v>vendredi</v>
      </c>
      <c r="AA28" s="42" t="str">
        <f t="shared" si="3"/>
        <v>12</v>
      </c>
      <c r="AB28" s="42" t="str">
        <f t="shared" si="4"/>
        <v>04</v>
      </c>
      <c r="AC28" s="42" t="str">
        <f t="shared" si="5"/>
        <v>2024</v>
      </c>
    </row>
    <row r="29" spans="1:29" x14ac:dyDescent="0.25">
      <c r="A29" s="41">
        <v>45394</v>
      </c>
      <c r="B29" s="42" t="s">
        <v>70</v>
      </c>
      <c r="C29" s="42" t="s">
        <v>1</v>
      </c>
      <c r="D29" s="42" t="s">
        <v>265</v>
      </c>
      <c r="E29" s="43" t="s">
        <v>454</v>
      </c>
      <c r="F29" s="44" t="s">
        <v>497</v>
      </c>
      <c r="G29" s="41"/>
      <c r="H29" s="42" t="s">
        <v>529</v>
      </c>
      <c r="I29" s="42" t="s">
        <v>666</v>
      </c>
      <c r="J29" s="45" t="s">
        <v>685</v>
      </c>
      <c r="K29" s="46">
        <v>45398</v>
      </c>
      <c r="L29" s="45" t="s">
        <v>705</v>
      </c>
      <c r="M29" s="42" t="s">
        <v>20</v>
      </c>
      <c r="N29" s="46">
        <v>45394</v>
      </c>
      <c r="O29" s="42" t="s">
        <v>752</v>
      </c>
      <c r="P29" s="42" t="s">
        <v>808</v>
      </c>
      <c r="Q29" s="45">
        <v>0</v>
      </c>
      <c r="R29" s="45">
        <v>0</v>
      </c>
      <c r="S29" s="42"/>
      <c r="T29" s="47">
        <v>45395</v>
      </c>
      <c r="U29" s="45">
        <v>1</v>
      </c>
      <c r="V29" s="42" t="s">
        <v>905</v>
      </c>
      <c r="W29" s="42">
        <f t="shared" si="0"/>
        <v>1</v>
      </c>
      <c r="X29" s="42">
        <f t="shared" si="1"/>
        <v>1</v>
      </c>
      <c r="Y29" s="48">
        <f>Data_Base_Normalisation[[#This Row],[Normalisation Total]]-Data_Base_Normalisation[[#This Row],[Normalisation exécutée]]</f>
        <v>0</v>
      </c>
      <c r="Z29" s="42" t="str">
        <f t="shared" si="2"/>
        <v>vendredi</v>
      </c>
      <c r="AA29" s="42" t="str">
        <f t="shared" si="3"/>
        <v>12</v>
      </c>
      <c r="AB29" s="42" t="str">
        <f t="shared" si="4"/>
        <v>04</v>
      </c>
      <c r="AC29" s="42" t="str">
        <f t="shared" si="5"/>
        <v>2024</v>
      </c>
    </row>
    <row r="30" spans="1:29" x14ac:dyDescent="0.25">
      <c r="A30" s="41">
        <v>45394</v>
      </c>
      <c r="B30" s="42" t="s">
        <v>71</v>
      </c>
      <c r="C30" s="42" t="s">
        <v>9</v>
      </c>
      <c r="D30" s="42" t="s">
        <v>266</v>
      </c>
      <c r="E30" s="43" t="s">
        <v>455</v>
      </c>
      <c r="F30" s="44" t="s">
        <v>497</v>
      </c>
      <c r="G30" s="41"/>
      <c r="H30" s="42" t="s">
        <v>530</v>
      </c>
      <c r="I30" s="42" t="s">
        <v>666</v>
      </c>
      <c r="J30" s="45" t="s">
        <v>685</v>
      </c>
      <c r="K30" s="46">
        <v>45397</v>
      </c>
      <c r="L30" s="45"/>
      <c r="M30" s="42" t="s">
        <v>725</v>
      </c>
      <c r="N30" s="46">
        <v>45394</v>
      </c>
      <c r="O30" s="42" t="s">
        <v>725</v>
      </c>
      <c r="P30" s="42" t="s">
        <v>809</v>
      </c>
      <c r="Q30" s="45">
        <v>0</v>
      </c>
      <c r="R30" s="45">
        <v>0</v>
      </c>
      <c r="S30" s="42"/>
      <c r="T30" s="47">
        <v>45394</v>
      </c>
      <c r="U30" s="45">
        <v>1</v>
      </c>
      <c r="V30" s="42" t="s">
        <v>905</v>
      </c>
      <c r="W30" s="42">
        <f t="shared" si="0"/>
        <v>1</v>
      </c>
      <c r="X30" s="42">
        <f t="shared" si="1"/>
        <v>1</v>
      </c>
      <c r="Y30" s="48">
        <f>Data_Base_Normalisation[[#This Row],[Normalisation Total]]-Data_Base_Normalisation[[#This Row],[Normalisation exécutée]]</f>
        <v>0</v>
      </c>
      <c r="Z30" s="42" t="str">
        <f t="shared" si="2"/>
        <v>vendredi</v>
      </c>
      <c r="AA30" s="42" t="str">
        <f t="shared" si="3"/>
        <v>12</v>
      </c>
      <c r="AB30" s="42" t="str">
        <f t="shared" si="4"/>
        <v>04</v>
      </c>
      <c r="AC30" s="42" t="str">
        <f t="shared" si="5"/>
        <v>2024</v>
      </c>
    </row>
    <row r="31" spans="1:29" x14ac:dyDescent="0.25">
      <c r="A31" s="41">
        <v>45397</v>
      </c>
      <c r="B31" s="42" t="s">
        <v>72</v>
      </c>
      <c r="C31" s="42" t="s">
        <v>9</v>
      </c>
      <c r="D31" s="42" t="s">
        <v>267</v>
      </c>
      <c r="E31" s="43" t="s">
        <v>456</v>
      </c>
      <c r="F31" s="44" t="s">
        <v>498</v>
      </c>
      <c r="G31" s="41"/>
      <c r="H31" s="42" t="s">
        <v>531</v>
      </c>
      <c r="I31" s="42" t="s">
        <v>666</v>
      </c>
      <c r="J31" s="45" t="s">
        <v>684</v>
      </c>
      <c r="K31" s="46">
        <v>45398</v>
      </c>
      <c r="L31" s="45"/>
      <c r="M31" s="42" t="s">
        <v>726</v>
      </c>
      <c r="N31" s="46">
        <v>45397</v>
      </c>
      <c r="O31" s="42" t="s">
        <v>726</v>
      </c>
      <c r="P31" s="42" t="s">
        <v>810</v>
      </c>
      <c r="Q31" s="45"/>
      <c r="R31" s="45"/>
      <c r="S31" s="42"/>
      <c r="T31" s="47"/>
      <c r="U31" s="45">
        <v>1</v>
      </c>
      <c r="V31" s="42" t="s">
        <v>904</v>
      </c>
      <c r="W31" s="42">
        <f t="shared" si="0"/>
        <v>1</v>
      </c>
      <c r="X31" s="42">
        <f t="shared" si="1"/>
        <v>1</v>
      </c>
      <c r="Y31" s="48">
        <f>Data_Base_Normalisation[[#This Row],[Normalisation Total]]-Data_Base_Normalisation[[#This Row],[Normalisation exécutée]]</f>
        <v>0</v>
      </c>
      <c r="Z31" s="42" t="str">
        <f t="shared" si="2"/>
        <v>lundi</v>
      </c>
      <c r="AA31" s="42" t="str">
        <f t="shared" si="3"/>
        <v>15</v>
      </c>
      <c r="AB31" s="42" t="str">
        <f t="shared" si="4"/>
        <v>04</v>
      </c>
      <c r="AC31" s="42" t="str">
        <f t="shared" si="5"/>
        <v>2024</v>
      </c>
    </row>
    <row r="32" spans="1:29" x14ac:dyDescent="0.25">
      <c r="A32" s="41">
        <v>45397</v>
      </c>
      <c r="B32" s="42" t="s">
        <v>73</v>
      </c>
      <c r="C32" s="42" t="s">
        <v>9</v>
      </c>
      <c r="D32" s="42" t="s">
        <v>268</v>
      </c>
      <c r="E32" s="43" t="s">
        <v>457</v>
      </c>
      <c r="F32" s="44" t="s">
        <v>498</v>
      </c>
      <c r="G32" s="41"/>
      <c r="H32" s="42" t="s">
        <v>532</v>
      </c>
      <c r="I32" s="42" t="s">
        <v>666</v>
      </c>
      <c r="J32" s="45" t="s">
        <v>684</v>
      </c>
      <c r="K32" s="46">
        <v>45398</v>
      </c>
      <c r="L32" s="45"/>
      <c r="M32" s="42"/>
      <c r="N32" s="46">
        <v>45397</v>
      </c>
      <c r="O32" s="42" t="s">
        <v>722</v>
      </c>
      <c r="P32" s="42" t="s">
        <v>811</v>
      </c>
      <c r="Q32" s="45">
        <v>0</v>
      </c>
      <c r="R32" s="45">
        <v>0</v>
      </c>
      <c r="S32" s="42"/>
      <c r="T32" s="47"/>
      <c r="U32" s="45">
        <v>1</v>
      </c>
      <c r="V32" s="42" t="s">
        <v>904</v>
      </c>
      <c r="W32" s="42">
        <f t="shared" si="0"/>
        <v>1</v>
      </c>
      <c r="X32" s="42">
        <f t="shared" si="1"/>
        <v>1</v>
      </c>
      <c r="Y32" s="48">
        <f>Data_Base_Normalisation[[#This Row],[Normalisation Total]]-Data_Base_Normalisation[[#This Row],[Normalisation exécutée]]</f>
        <v>0</v>
      </c>
      <c r="Z32" s="42" t="str">
        <f t="shared" si="2"/>
        <v>lundi</v>
      </c>
      <c r="AA32" s="42" t="str">
        <f t="shared" si="3"/>
        <v>15</v>
      </c>
      <c r="AB32" s="42" t="str">
        <f t="shared" si="4"/>
        <v>04</v>
      </c>
      <c r="AC32" s="42" t="str">
        <f t="shared" si="5"/>
        <v>2024</v>
      </c>
    </row>
    <row r="33" spans="1:29" x14ac:dyDescent="0.25">
      <c r="A33" s="41">
        <v>45397</v>
      </c>
      <c r="B33" s="42" t="s">
        <v>74</v>
      </c>
      <c r="C33" s="42" t="s">
        <v>9</v>
      </c>
      <c r="D33" s="42" t="s">
        <v>269</v>
      </c>
      <c r="E33" s="43" t="s">
        <v>458</v>
      </c>
      <c r="F33" s="44" t="s">
        <v>498</v>
      </c>
      <c r="G33" s="41"/>
      <c r="H33" s="42" t="s">
        <v>533</v>
      </c>
      <c r="I33" s="42" t="s">
        <v>666</v>
      </c>
      <c r="J33" s="45" t="s">
        <v>684</v>
      </c>
      <c r="K33" s="46">
        <v>45395</v>
      </c>
      <c r="L33" s="45"/>
      <c r="M33" s="42"/>
      <c r="N33" s="46">
        <v>45397</v>
      </c>
      <c r="O33" s="42" t="s">
        <v>753</v>
      </c>
      <c r="P33" s="42" t="s">
        <v>812</v>
      </c>
      <c r="Q33" s="45">
        <v>0</v>
      </c>
      <c r="R33" s="45" t="s">
        <v>498</v>
      </c>
      <c r="S33" s="42"/>
      <c r="T33" s="47"/>
      <c r="U33" s="45">
        <v>1</v>
      </c>
      <c r="V33" s="42" t="s">
        <v>904</v>
      </c>
      <c r="W33" s="42">
        <f t="shared" si="0"/>
        <v>1</v>
      </c>
      <c r="X33" s="42">
        <f t="shared" si="1"/>
        <v>1</v>
      </c>
      <c r="Y33" s="48">
        <f>Data_Base_Normalisation[[#This Row],[Normalisation Total]]-Data_Base_Normalisation[[#This Row],[Normalisation exécutée]]</f>
        <v>0</v>
      </c>
      <c r="Z33" s="42" t="str">
        <f t="shared" si="2"/>
        <v>lundi</v>
      </c>
      <c r="AA33" s="42" t="str">
        <f t="shared" si="3"/>
        <v>15</v>
      </c>
      <c r="AB33" s="42" t="str">
        <f t="shared" si="4"/>
        <v>04</v>
      </c>
      <c r="AC33" s="42" t="str">
        <f t="shared" si="5"/>
        <v>2024</v>
      </c>
    </row>
    <row r="34" spans="1:29" x14ac:dyDescent="0.25">
      <c r="A34" s="41">
        <v>45397</v>
      </c>
      <c r="B34" s="42" t="s">
        <v>75</v>
      </c>
      <c r="C34" s="42" t="s">
        <v>9</v>
      </c>
      <c r="D34" s="42" t="s">
        <v>270</v>
      </c>
      <c r="E34" s="43" t="s">
        <v>432</v>
      </c>
      <c r="F34" s="44" t="s">
        <v>498</v>
      </c>
      <c r="G34" s="41"/>
      <c r="H34" s="42"/>
      <c r="I34" s="42" t="s">
        <v>666</v>
      </c>
      <c r="J34" s="45" t="s">
        <v>684</v>
      </c>
      <c r="K34" s="46">
        <v>45395</v>
      </c>
      <c r="L34" s="45" t="s">
        <v>706</v>
      </c>
      <c r="M34" s="42" t="s">
        <v>21</v>
      </c>
      <c r="N34" s="46">
        <v>45406</v>
      </c>
      <c r="O34" s="42" t="s">
        <v>37</v>
      </c>
      <c r="P34" s="42" t="s">
        <v>813</v>
      </c>
      <c r="Q34" s="45">
        <v>0</v>
      </c>
      <c r="R34" s="45">
        <v>10</v>
      </c>
      <c r="S34" s="42">
        <v>30</v>
      </c>
      <c r="T34" s="47"/>
      <c r="U34" s="45">
        <v>1</v>
      </c>
      <c r="V34" s="42" t="s">
        <v>905</v>
      </c>
      <c r="W34" s="42">
        <f t="shared" si="0"/>
        <v>1</v>
      </c>
      <c r="X34" s="42">
        <f t="shared" si="1"/>
        <v>1</v>
      </c>
      <c r="Y34" s="48">
        <f>Data_Base_Normalisation[[#This Row],[Normalisation Total]]-Data_Base_Normalisation[[#This Row],[Normalisation exécutée]]</f>
        <v>0</v>
      </c>
      <c r="Z34" s="42" t="str">
        <f t="shared" si="2"/>
        <v>lundi</v>
      </c>
      <c r="AA34" s="42" t="str">
        <f t="shared" si="3"/>
        <v>15</v>
      </c>
      <c r="AB34" s="42" t="str">
        <f t="shared" si="4"/>
        <v>04</v>
      </c>
      <c r="AC34" s="42" t="str">
        <f t="shared" si="5"/>
        <v>2024</v>
      </c>
    </row>
    <row r="35" spans="1:29" x14ac:dyDescent="0.25">
      <c r="A35" s="41">
        <v>45397</v>
      </c>
      <c r="B35" s="42" t="s">
        <v>76</v>
      </c>
      <c r="C35" s="42" t="s">
        <v>9</v>
      </c>
      <c r="D35" s="42" t="s">
        <v>271</v>
      </c>
      <c r="E35" s="43" t="s">
        <v>459</v>
      </c>
      <c r="F35" s="44" t="s">
        <v>498</v>
      </c>
      <c r="G35" s="41"/>
      <c r="H35" s="42"/>
      <c r="I35" s="42" t="s">
        <v>666</v>
      </c>
      <c r="J35" s="45" t="s">
        <v>684</v>
      </c>
      <c r="K35" s="46">
        <v>45395</v>
      </c>
      <c r="L35" s="45"/>
      <c r="M35" s="42"/>
      <c r="N35" s="46"/>
      <c r="O35" s="42"/>
      <c r="P35" s="42"/>
      <c r="Q35" s="45"/>
      <c r="R35" s="45"/>
      <c r="S35" s="42"/>
      <c r="T35" s="47"/>
      <c r="U35" s="45"/>
      <c r="V35" s="42"/>
      <c r="W35" s="42">
        <f t="shared" si="0"/>
        <v>1</v>
      </c>
      <c r="X35" s="42">
        <f t="shared" si="1"/>
        <v>0</v>
      </c>
      <c r="Y35" s="48">
        <f>Data_Base_Normalisation[[#This Row],[Normalisation Total]]-Data_Base_Normalisation[[#This Row],[Normalisation exécutée]]</f>
        <v>1</v>
      </c>
      <c r="Z35" s="42" t="str">
        <f t="shared" si="2"/>
        <v>lundi</v>
      </c>
      <c r="AA35" s="42" t="str">
        <f t="shared" si="3"/>
        <v>15</v>
      </c>
      <c r="AB35" s="42" t="str">
        <f t="shared" si="4"/>
        <v>04</v>
      </c>
      <c r="AC35" s="42" t="str">
        <f t="shared" si="5"/>
        <v>2024</v>
      </c>
    </row>
    <row r="36" spans="1:29" x14ac:dyDescent="0.25">
      <c r="A36" s="41">
        <v>45397</v>
      </c>
      <c r="B36" s="42" t="s">
        <v>77</v>
      </c>
      <c r="C36" s="42" t="s">
        <v>9</v>
      </c>
      <c r="D36" s="42" t="s">
        <v>272</v>
      </c>
      <c r="E36" s="43" t="s">
        <v>460</v>
      </c>
      <c r="F36" s="44" t="s">
        <v>498</v>
      </c>
      <c r="G36" s="41"/>
      <c r="H36" s="42" t="s">
        <v>534</v>
      </c>
      <c r="I36" s="42" t="s">
        <v>666</v>
      </c>
      <c r="J36" s="45" t="s">
        <v>684</v>
      </c>
      <c r="K36" s="46">
        <v>45399</v>
      </c>
      <c r="L36" s="45"/>
      <c r="M36" s="42" t="s">
        <v>727</v>
      </c>
      <c r="N36" s="46">
        <v>45397</v>
      </c>
      <c r="O36" s="42" t="s">
        <v>754</v>
      </c>
      <c r="P36" s="42" t="s">
        <v>814</v>
      </c>
      <c r="Q36" s="45" t="s">
        <v>497</v>
      </c>
      <c r="R36" s="45">
        <v>0</v>
      </c>
      <c r="S36" s="42"/>
      <c r="T36" s="47"/>
      <c r="U36" s="45">
        <v>1</v>
      </c>
      <c r="V36" s="42" t="s">
        <v>904</v>
      </c>
      <c r="W36" s="42">
        <f t="shared" si="0"/>
        <v>1</v>
      </c>
      <c r="X36" s="42">
        <f t="shared" si="1"/>
        <v>1</v>
      </c>
      <c r="Y36" s="48">
        <f>Data_Base_Normalisation[[#This Row],[Normalisation Total]]-Data_Base_Normalisation[[#This Row],[Normalisation exécutée]]</f>
        <v>0</v>
      </c>
      <c r="Z36" s="42" t="str">
        <f t="shared" si="2"/>
        <v>lundi</v>
      </c>
      <c r="AA36" s="42" t="str">
        <f t="shared" si="3"/>
        <v>15</v>
      </c>
      <c r="AB36" s="42" t="str">
        <f t="shared" si="4"/>
        <v>04</v>
      </c>
      <c r="AC36" s="42" t="str">
        <f t="shared" si="5"/>
        <v>2024</v>
      </c>
    </row>
    <row r="37" spans="1:29" x14ac:dyDescent="0.25">
      <c r="A37" s="41">
        <v>45397</v>
      </c>
      <c r="B37" s="42" t="s">
        <v>78</v>
      </c>
      <c r="C37" s="42" t="s">
        <v>9</v>
      </c>
      <c r="D37" s="42" t="s">
        <v>273</v>
      </c>
      <c r="E37" s="43" t="s">
        <v>461</v>
      </c>
      <c r="F37" s="44" t="s">
        <v>498</v>
      </c>
      <c r="G37" s="41"/>
      <c r="H37" s="42" t="s">
        <v>535</v>
      </c>
      <c r="I37" s="42" t="s">
        <v>666</v>
      </c>
      <c r="J37" s="45" t="s">
        <v>684</v>
      </c>
      <c r="K37" s="46">
        <v>45398</v>
      </c>
      <c r="L37" s="45"/>
      <c r="M37" s="42"/>
      <c r="N37" s="46"/>
      <c r="O37" s="42"/>
      <c r="P37" s="42"/>
      <c r="Q37" s="45"/>
      <c r="R37" s="45"/>
      <c r="S37" s="42"/>
      <c r="T37" s="47"/>
      <c r="U37" s="45"/>
      <c r="V37" s="42"/>
      <c r="W37" s="42">
        <f t="shared" si="0"/>
        <v>1</v>
      </c>
      <c r="X37" s="42">
        <f t="shared" si="1"/>
        <v>0</v>
      </c>
      <c r="Y37" s="48">
        <f>Data_Base_Normalisation[[#This Row],[Normalisation Total]]-Data_Base_Normalisation[[#This Row],[Normalisation exécutée]]</f>
        <v>1</v>
      </c>
      <c r="Z37" s="42" t="str">
        <f t="shared" si="2"/>
        <v>lundi</v>
      </c>
      <c r="AA37" s="42" t="str">
        <f t="shared" si="3"/>
        <v>15</v>
      </c>
      <c r="AB37" s="42" t="str">
        <f t="shared" si="4"/>
        <v>04</v>
      </c>
      <c r="AC37" s="42" t="str">
        <f t="shared" si="5"/>
        <v>2024</v>
      </c>
    </row>
    <row r="38" spans="1:29" x14ac:dyDescent="0.25">
      <c r="A38" s="41">
        <v>45397</v>
      </c>
      <c r="B38" s="42"/>
      <c r="C38" s="42" t="s">
        <v>9</v>
      </c>
      <c r="D38" s="42" t="s">
        <v>274</v>
      </c>
      <c r="E38" s="43" t="s">
        <v>462</v>
      </c>
      <c r="F38" s="44" t="s">
        <v>498</v>
      </c>
      <c r="G38" s="41"/>
      <c r="H38" s="42"/>
      <c r="I38" s="42" t="s">
        <v>666</v>
      </c>
      <c r="J38" s="45" t="s">
        <v>684</v>
      </c>
      <c r="K38" s="46">
        <v>45398</v>
      </c>
      <c r="L38" s="45"/>
      <c r="M38" s="42"/>
      <c r="N38" s="46"/>
      <c r="O38" s="42"/>
      <c r="P38" s="42"/>
      <c r="Q38" s="45"/>
      <c r="R38" s="45"/>
      <c r="S38" s="42"/>
      <c r="T38" s="47"/>
      <c r="U38" s="45"/>
      <c r="V38" s="42"/>
      <c r="W38" s="42">
        <f t="shared" si="0"/>
        <v>0</v>
      </c>
      <c r="X38" s="42">
        <f t="shared" si="1"/>
        <v>0</v>
      </c>
      <c r="Y38" s="48">
        <f>Data_Base_Normalisation[[#This Row],[Normalisation Total]]-Data_Base_Normalisation[[#This Row],[Normalisation exécutée]]</f>
        <v>0</v>
      </c>
      <c r="Z38" s="42" t="str">
        <f t="shared" si="2"/>
        <v>lundi</v>
      </c>
      <c r="AA38" s="42" t="str">
        <f t="shared" si="3"/>
        <v>15</v>
      </c>
      <c r="AB38" s="42" t="str">
        <f t="shared" si="4"/>
        <v>04</v>
      </c>
      <c r="AC38" s="42" t="str">
        <f t="shared" si="5"/>
        <v>2024</v>
      </c>
    </row>
    <row r="39" spans="1:29" x14ac:dyDescent="0.25">
      <c r="A39" s="41">
        <v>45397</v>
      </c>
      <c r="B39" s="42" t="s">
        <v>79</v>
      </c>
      <c r="C39" s="42" t="s">
        <v>9</v>
      </c>
      <c r="D39" s="42" t="s">
        <v>275</v>
      </c>
      <c r="E39" s="43" t="s">
        <v>463</v>
      </c>
      <c r="F39" s="44" t="s">
        <v>498</v>
      </c>
      <c r="G39" s="41"/>
      <c r="H39" s="42" t="s">
        <v>536</v>
      </c>
      <c r="I39" s="42" t="s">
        <v>666</v>
      </c>
      <c r="J39" s="45" t="s">
        <v>684</v>
      </c>
      <c r="K39" s="46">
        <v>45398</v>
      </c>
      <c r="L39" s="45"/>
      <c r="M39" s="42"/>
      <c r="N39" s="46"/>
      <c r="O39" s="42"/>
      <c r="P39" s="42"/>
      <c r="Q39" s="45"/>
      <c r="R39" s="45"/>
      <c r="S39" s="42"/>
      <c r="T39" s="47"/>
      <c r="U39" s="45"/>
      <c r="V39" s="42"/>
      <c r="W39" s="42">
        <f t="shared" si="0"/>
        <v>1</v>
      </c>
      <c r="X39" s="42">
        <f t="shared" si="1"/>
        <v>0</v>
      </c>
      <c r="Y39" s="48">
        <f>Data_Base_Normalisation[[#This Row],[Normalisation Total]]-Data_Base_Normalisation[[#This Row],[Normalisation exécutée]]</f>
        <v>1</v>
      </c>
      <c r="Z39" s="42" t="str">
        <f t="shared" si="2"/>
        <v>lundi</v>
      </c>
      <c r="AA39" s="42" t="str">
        <f t="shared" si="3"/>
        <v>15</v>
      </c>
      <c r="AB39" s="42" t="str">
        <f t="shared" si="4"/>
        <v>04</v>
      </c>
      <c r="AC39" s="42" t="str">
        <f t="shared" si="5"/>
        <v>2024</v>
      </c>
    </row>
    <row r="40" spans="1:29" x14ac:dyDescent="0.25">
      <c r="A40" s="41">
        <v>45397</v>
      </c>
      <c r="B40" s="42" t="s">
        <v>80</v>
      </c>
      <c r="C40" s="42" t="s">
        <v>9</v>
      </c>
      <c r="D40" s="42" t="s">
        <v>273</v>
      </c>
      <c r="E40" s="43" t="s">
        <v>446</v>
      </c>
      <c r="F40" s="44" t="s">
        <v>498</v>
      </c>
      <c r="G40" s="41"/>
      <c r="H40" s="42" t="s">
        <v>535</v>
      </c>
      <c r="I40" s="42" t="s">
        <v>666</v>
      </c>
      <c r="J40" s="45" t="s">
        <v>684</v>
      </c>
      <c r="K40" s="46">
        <v>45398</v>
      </c>
      <c r="L40" s="45"/>
      <c r="M40" s="42"/>
      <c r="N40" s="46"/>
      <c r="O40" s="42"/>
      <c r="P40" s="42"/>
      <c r="Q40" s="45"/>
      <c r="R40" s="45"/>
      <c r="S40" s="42"/>
      <c r="T40" s="47"/>
      <c r="U40" s="45"/>
      <c r="V40" s="42"/>
      <c r="W40" s="42">
        <f t="shared" si="0"/>
        <v>1</v>
      </c>
      <c r="X40" s="42">
        <f t="shared" si="1"/>
        <v>0</v>
      </c>
      <c r="Y40" s="48">
        <f>Data_Base_Normalisation[[#This Row],[Normalisation Total]]-Data_Base_Normalisation[[#This Row],[Normalisation exécutée]]</f>
        <v>1</v>
      </c>
      <c r="Z40" s="42" t="str">
        <f t="shared" si="2"/>
        <v>lundi</v>
      </c>
      <c r="AA40" s="42" t="str">
        <f t="shared" si="3"/>
        <v>15</v>
      </c>
      <c r="AB40" s="42" t="str">
        <f t="shared" si="4"/>
        <v>04</v>
      </c>
      <c r="AC40" s="42" t="str">
        <f t="shared" si="5"/>
        <v>2024</v>
      </c>
    </row>
    <row r="41" spans="1:29" x14ac:dyDescent="0.25">
      <c r="A41" s="41">
        <v>45397</v>
      </c>
      <c r="B41" s="42" t="s">
        <v>81</v>
      </c>
      <c r="C41" s="42" t="s">
        <v>9</v>
      </c>
      <c r="D41" s="42" t="s">
        <v>276</v>
      </c>
      <c r="E41" s="43" t="s">
        <v>464</v>
      </c>
      <c r="F41" s="44" t="s">
        <v>496</v>
      </c>
      <c r="G41" s="41"/>
      <c r="H41" s="42"/>
      <c r="I41" s="42" t="s">
        <v>922</v>
      </c>
      <c r="J41" s="45" t="s">
        <v>684</v>
      </c>
      <c r="K41" s="46">
        <v>45411</v>
      </c>
      <c r="L41" s="45"/>
      <c r="M41" s="42"/>
      <c r="N41" s="46"/>
      <c r="O41" s="42"/>
      <c r="P41" s="42"/>
      <c r="Q41" s="45"/>
      <c r="R41" s="45"/>
      <c r="S41" s="42"/>
      <c r="T41" s="47"/>
      <c r="U41" s="45"/>
      <c r="V41" s="42"/>
      <c r="W41" s="42">
        <f t="shared" si="0"/>
        <v>1</v>
      </c>
      <c r="X41" s="42">
        <f t="shared" si="1"/>
        <v>0</v>
      </c>
      <c r="Y41" s="48">
        <f>Data_Base_Normalisation[[#This Row],[Normalisation Total]]-Data_Base_Normalisation[[#This Row],[Normalisation exécutée]]</f>
        <v>1</v>
      </c>
      <c r="Z41" s="42" t="str">
        <f t="shared" si="2"/>
        <v>lundi</v>
      </c>
      <c r="AA41" s="42" t="str">
        <f t="shared" si="3"/>
        <v>15</v>
      </c>
      <c r="AB41" s="42" t="str">
        <f t="shared" si="4"/>
        <v>04</v>
      </c>
      <c r="AC41" s="42" t="str">
        <f t="shared" si="5"/>
        <v>2024</v>
      </c>
    </row>
    <row r="42" spans="1:29" x14ac:dyDescent="0.25">
      <c r="A42" s="41">
        <v>45397</v>
      </c>
      <c r="B42" s="42" t="s">
        <v>82</v>
      </c>
      <c r="C42" s="42" t="s">
        <v>9</v>
      </c>
      <c r="D42" s="42" t="s">
        <v>277</v>
      </c>
      <c r="E42" s="43" t="s">
        <v>465</v>
      </c>
      <c r="F42" s="44" t="s">
        <v>498</v>
      </c>
      <c r="G42" s="41"/>
      <c r="H42" s="42" t="s">
        <v>537</v>
      </c>
      <c r="I42" s="42" t="s">
        <v>666</v>
      </c>
      <c r="J42" s="45" t="s">
        <v>684</v>
      </c>
      <c r="K42" s="46">
        <v>45398</v>
      </c>
      <c r="L42" s="45"/>
      <c r="M42" s="42"/>
      <c r="N42" s="46"/>
      <c r="O42" s="42"/>
      <c r="P42" s="42"/>
      <c r="Q42" s="45"/>
      <c r="R42" s="45"/>
      <c r="S42" s="42"/>
      <c r="T42" s="47"/>
      <c r="U42" s="45"/>
      <c r="V42" s="42"/>
      <c r="W42" s="42">
        <f t="shared" si="0"/>
        <v>1</v>
      </c>
      <c r="X42" s="42">
        <f t="shared" si="1"/>
        <v>0</v>
      </c>
      <c r="Y42" s="48">
        <f>Data_Base_Normalisation[[#This Row],[Normalisation Total]]-Data_Base_Normalisation[[#This Row],[Normalisation exécutée]]</f>
        <v>1</v>
      </c>
      <c r="Z42" s="42" t="str">
        <f t="shared" si="2"/>
        <v>lundi</v>
      </c>
      <c r="AA42" s="42" t="str">
        <f t="shared" si="3"/>
        <v>15</v>
      </c>
      <c r="AB42" s="42" t="str">
        <f t="shared" si="4"/>
        <v>04</v>
      </c>
      <c r="AC42" s="42" t="str">
        <f t="shared" si="5"/>
        <v>2024</v>
      </c>
    </row>
    <row r="43" spans="1:29" x14ac:dyDescent="0.25">
      <c r="A43" s="41">
        <v>45397</v>
      </c>
      <c r="B43" s="42" t="s">
        <v>83</v>
      </c>
      <c r="C43" s="42" t="s">
        <v>9</v>
      </c>
      <c r="D43" s="42" t="s">
        <v>278</v>
      </c>
      <c r="E43" s="43" t="s">
        <v>466</v>
      </c>
      <c r="F43" s="44" t="s">
        <v>498</v>
      </c>
      <c r="G43" s="41"/>
      <c r="H43" s="42"/>
      <c r="I43" s="42" t="s">
        <v>666</v>
      </c>
      <c r="J43" s="45" t="s">
        <v>684</v>
      </c>
      <c r="K43" s="46">
        <v>45398</v>
      </c>
      <c r="L43" s="45"/>
      <c r="M43" s="42"/>
      <c r="N43" s="46"/>
      <c r="O43" s="42"/>
      <c r="P43" s="42"/>
      <c r="Q43" s="45"/>
      <c r="R43" s="45"/>
      <c r="S43" s="42"/>
      <c r="T43" s="47"/>
      <c r="U43" s="45"/>
      <c r="V43" s="42"/>
      <c r="W43" s="42">
        <f t="shared" si="0"/>
        <v>1</v>
      </c>
      <c r="X43" s="42">
        <f t="shared" si="1"/>
        <v>0</v>
      </c>
      <c r="Y43" s="48">
        <f>Data_Base_Normalisation[[#This Row],[Normalisation Total]]-Data_Base_Normalisation[[#This Row],[Normalisation exécutée]]</f>
        <v>1</v>
      </c>
      <c r="Z43" s="42" t="str">
        <f t="shared" si="2"/>
        <v>lundi</v>
      </c>
      <c r="AA43" s="42" t="str">
        <f t="shared" si="3"/>
        <v>15</v>
      </c>
      <c r="AB43" s="42" t="str">
        <f t="shared" si="4"/>
        <v>04</v>
      </c>
      <c r="AC43" s="42" t="str">
        <f t="shared" si="5"/>
        <v>2024</v>
      </c>
    </row>
    <row r="44" spans="1:29" x14ac:dyDescent="0.25">
      <c r="A44" s="41">
        <v>45397</v>
      </c>
      <c r="B44" s="42" t="s">
        <v>84</v>
      </c>
      <c r="C44" s="42" t="s">
        <v>9</v>
      </c>
      <c r="D44" s="42" t="s">
        <v>279</v>
      </c>
      <c r="E44" s="43" t="s">
        <v>467</v>
      </c>
      <c r="F44" s="44" t="s">
        <v>498</v>
      </c>
      <c r="G44" s="41"/>
      <c r="H44" s="42" t="s">
        <v>538</v>
      </c>
      <c r="I44" s="42" t="s">
        <v>666</v>
      </c>
      <c r="J44" s="45" t="s">
        <v>684</v>
      </c>
      <c r="K44" s="46">
        <v>45398</v>
      </c>
      <c r="L44" s="45"/>
      <c r="M44" s="42"/>
      <c r="N44" s="46"/>
      <c r="O44" s="42"/>
      <c r="P44" s="42"/>
      <c r="Q44" s="45"/>
      <c r="R44" s="45"/>
      <c r="S44" s="42"/>
      <c r="T44" s="47"/>
      <c r="U44" s="45">
        <v>1</v>
      </c>
      <c r="V44" s="42" t="s">
        <v>906</v>
      </c>
      <c r="W44" s="42">
        <f t="shared" si="0"/>
        <v>1</v>
      </c>
      <c r="X44" s="42">
        <f t="shared" si="1"/>
        <v>0</v>
      </c>
      <c r="Y44" s="48">
        <f>Data_Base_Normalisation[[#This Row],[Normalisation Total]]-Data_Base_Normalisation[[#This Row],[Normalisation exécutée]]</f>
        <v>1</v>
      </c>
      <c r="Z44" s="42" t="str">
        <f t="shared" si="2"/>
        <v>lundi</v>
      </c>
      <c r="AA44" s="42" t="str">
        <f t="shared" si="3"/>
        <v>15</v>
      </c>
      <c r="AB44" s="42" t="str">
        <f t="shared" si="4"/>
        <v>04</v>
      </c>
      <c r="AC44" s="42" t="str">
        <f t="shared" si="5"/>
        <v>2024</v>
      </c>
    </row>
    <row r="45" spans="1:29" x14ac:dyDescent="0.25">
      <c r="A45" s="41">
        <v>45397</v>
      </c>
      <c r="B45" s="42" t="s">
        <v>85</v>
      </c>
      <c r="C45" s="42" t="s">
        <v>9</v>
      </c>
      <c r="D45" s="42" t="s">
        <v>280</v>
      </c>
      <c r="E45" s="43" t="s">
        <v>468</v>
      </c>
      <c r="F45" s="44" t="s">
        <v>498</v>
      </c>
      <c r="G45" s="41"/>
      <c r="H45" s="42" t="s">
        <v>539</v>
      </c>
      <c r="I45" s="42" t="s">
        <v>666</v>
      </c>
      <c r="J45" s="45" t="s">
        <v>684</v>
      </c>
      <c r="K45" s="46">
        <v>45398</v>
      </c>
      <c r="L45" s="45"/>
      <c r="M45" s="42"/>
      <c r="N45" s="46"/>
      <c r="O45" s="42"/>
      <c r="P45" s="42"/>
      <c r="Q45" s="45"/>
      <c r="R45" s="45"/>
      <c r="S45" s="42"/>
      <c r="T45" s="47"/>
      <c r="U45" s="45"/>
      <c r="V45" s="42"/>
      <c r="W45" s="42">
        <f t="shared" si="0"/>
        <v>1</v>
      </c>
      <c r="X45" s="42">
        <f t="shared" si="1"/>
        <v>0</v>
      </c>
      <c r="Y45" s="48">
        <f>Data_Base_Normalisation[[#This Row],[Normalisation Total]]-Data_Base_Normalisation[[#This Row],[Normalisation exécutée]]</f>
        <v>1</v>
      </c>
      <c r="Z45" s="42" t="str">
        <f t="shared" si="2"/>
        <v>lundi</v>
      </c>
      <c r="AA45" s="42" t="str">
        <f t="shared" si="3"/>
        <v>15</v>
      </c>
      <c r="AB45" s="42" t="str">
        <f t="shared" si="4"/>
        <v>04</v>
      </c>
      <c r="AC45" s="42" t="str">
        <f t="shared" si="5"/>
        <v>2024</v>
      </c>
    </row>
    <row r="46" spans="1:29" x14ac:dyDescent="0.25">
      <c r="A46" s="41">
        <v>45397</v>
      </c>
      <c r="B46" s="42" t="s">
        <v>86</v>
      </c>
      <c r="C46" s="42" t="s">
        <v>9</v>
      </c>
      <c r="D46" s="42" t="s">
        <v>281</v>
      </c>
      <c r="E46" s="43" t="s">
        <v>469</v>
      </c>
      <c r="F46" s="44" t="s">
        <v>498</v>
      </c>
      <c r="G46" s="41"/>
      <c r="H46" s="42"/>
      <c r="I46" s="42" t="s">
        <v>666</v>
      </c>
      <c r="J46" s="45" t="s">
        <v>684</v>
      </c>
      <c r="K46" s="46">
        <v>45398</v>
      </c>
      <c r="L46" s="45"/>
      <c r="M46" s="42"/>
      <c r="N46" s="46"/>
      <c r="O46" s="42"/>
      <c r="P46" s="42"/>
      <c r="Q46" s="45"/>
      <c r="R46" s="45"/>
      <c r="S46" s="42"/>
      <c r="T46" s="47"/>
      <c r="U46" s="45"/>
      <c r="V46" s="42"/>
      <c r="W46" s="42">
        <f t="shared" si="0"/>
        <v>1</v>
      </c>
      <c r="X46" s="42">
        <f t="shared" si="1"/>
        <v>0</v>
      </c>
      <c r="Y46" s="48">
        <f>Data_Base_Normalisation[[#This Row],[Normalisation Total]]-Data_Base_Normalisation[[#This Row],[Normalisation exécutée]]</f>
        <v>1</v>
      </c>
      <c r="Z46" s="42" t="str">
        <f t="shared" si="2"/>
        <v>lundi</v>
      </c>
      <c r="AA46" s="42" t="str">
        <f t="shared" si="3"/>
        <v>15</v>
      </c>
      <c r="AB46" s="42" t="str">
        <f t="shared" si="4"/>
        <v>04</v>
      </c>
      <c r="AC46" s="42" t="str">
        <f t="shared" si="5"/>
        <v>2024</v>
      </c>
    </row>
    <row r="47" spans="1:29" x14ac:dyDescent="0.25">
      <c r="A47" s="41">
        <v>45397</v>
      </c>
      <c r="B47" s="42" t="s">
        <v>87</v>
      </c>
      <c r="C47" s="42" t="s">
        <v>9</v>
      </c>
      <c r="D47" s="42" t="s">
        <v>282</v>
      </c>
      <c r="E47" s="43" t="s">
        <v>470</v>
      </c>
      <c r="F47" s="44" t="s">
        <v>498</v>
      </c>
      <c r="G47" s="41"/>
      <c r="H47" s="42" t="s">
        <v>540</v>
      </c>
      <c r="I47" s="42" t="s">
        <v>666</v>
      </c>
      <c r="J47" s="45" t="s">
        <v>684</v>
      </c>
      <c r="K47" s="46">
        <v>45398</v>
      </c>
      <c r="L47" s="45"/>
      <c r="M47" s="42" t="s">
        <v>728</v>
      </c>
      <c r="N47" s="46">
        <v>45397</v>
      </c>
      <c r="O47" s="42"/>
      <c r="P47" s="42" t="s">
        <v>815</v>
      </c>
      <c r="Q47" s="45"/>
      <c r="R47" s="45"/>
      <c r="S47" s="42"/>
      <c r="T47" s="47">
        <v>45397</v>
      </c>
      <c r="U47" s="45"/>
      <c r="V47" s="42" t="s">
        <v>904</v>
      </c>
      <c r="W47" s="42">
        <f t="shared" si="0"/>
        <v>1</v>
      </c>
      <c r="X47" s="42">
        <f t="shared" si="1"/>
        <v>1</v>
      </c>
      <c r="Y47" s="48">
        <f>Data_Base_Normalisation[[#This Row],[Normalisation Total]]-Data_Base_Normalisation[[#This Row],[Normalisation exécutée]]</f>
        <v>0</v>
      </c>
      <c r="Z47" s="42" t="str">
        <f t="shared" si="2"/>
        <v>lundi</v>
      </c>
      <c r="AA47" s="42" t="str">
        <f t="shared" si="3"/>
        <v>15</v>
      </c>
      <c r="AB47" s="42" t="str">
        <f t="shared" si="4"/>
        <v>04</v>
      </c>
      <c r="AC47" s="42" t="str">
        <f t="shared" si="5"/>
        <v>2024</v>
      </c>
    </row>
    <row r="48" spans="1:29" x14ac:dyDescent="0.25">
      <c r="A48" s="41">
        <v>45397</v>
      </c>
      <c r="B48" s="42" t="s">
        <v>88</v>
      </c>
      <c r="C48" s="42" t="s">
        <v>9</v>
      </c>
      <c r="D48" s="42" t="s">
        <v>283</v>
      </c>
      <c r="E48" s="43" t="s">
        <v>471</v>
      </c>
      <c r="F48" s="44" t="s">
        <v>498</v>
      </c>
      <c r="G48" s="41"/>
      <c r="H48" s="42"/>
      <c r="I48" s="42" t="s">
        <v>666</v>
      </c>
      <c r="J48" s="45" t="s">
        <v>684</v>
      </c>
      <c r="K48" s="46">
        <v>45394</v>
      </c>
      <c r="L48" s="45"/>
      <c r="M48" s="42"/>
      <c r="N48" s="46"/>
      <c r="O48" s="42"/>
      <c r="P48" s="42"/>
      <c r="Q48" s="45"/>
      <c r="R48" s="45"/>
      <c r="S48" s="42"/>
      <c r="T48" s="47"/>
      <c r="U48" s="45"/>
      <c r="V48" s="42"/>
      <c r="W48" s="42">
        <f t="shared" si="0"/>
        <v>1</v>
      </c>
      <c r="X48" s="42">
        <f t="shared" si="1"/>
        <v>0</v>
      </c>
      <c r="Y48" s="48">
        <f>Data_Base_Normalisation[[#This Row],[Normalisation Total]]-Data_Base_Normalisation[[#This Row],[Normalisation exécutée]]</f>
        <v>1</v>
      </c>
      <c r="Z48" s="42" t="str">
        <f t="shared" si="2"/>
        <v>lundi</v>
      </c>
      <c r="AA48" s="42" t="str">
        <f t="shared" si="3"/>
        <v>15</v>
      </c>
      <c r="AB48" s="42" t="str">
        <f t="shared" si="4"/>
        <v>04</v>
      </c>
      <c r="AC48" s="42" t="str">
        <f t="shared" si="5"/>
        <v>2024</v>
      </c>
    </row>
    <row r="49" spans="1:29" x14ac:dyDescent="0.25">
      <c r="A49" s="41">
        <v>45397</v>
      </c>
      <c r="B49" s="42" t="s">
        <v>89</v>
      </c>
      <c r="C49" s="42" t="s">
        <v>9</v>
      </c>
      <c r="D49" s="42" t="s">
        <v>284</v>
      </c>
      <c r="E49" s="43" t="s">
        <v>472</v>
      </c>
      <c r="F49" s="44" t="s">
        <v>498</v>
      </c>
      <c r="G49" s="41"/>
      <c r="H49" s="42" t="s">
        <v>541</v>
      </c>
      <c r="I49" s="42" t="s">
        <v>666</v>
      </c>
      <c r="J49" s="45" t="s">
        <v>684</v>
      </c>
      <c r="K49" s="46">
        <v>45390</v>
      </c>
      <c r="L49" s="45"/>
      <c r="M49" s="42"/>
      <c r="N49" s="46"/>
      <c r="O49" s="42"/>
      <c r="P49" s="42"/>
      <c r="Q49" s="45"/>
      <c r="R49" s="45"/>
      <c r="S49" s="42"/>
      <c r="T49" s="47"/>
      <c r="U49" s="45"/>
      <c r="V49" s="42"/>
      <c r="W49" s="42">
        <f t="shared" si="0"/>
        <v>1</v>
      </c>
      <c r="X49" s="42">
        <f t="shared" si="1"/>
        <v>0</v>
      </c>
      <c r="Y49" s="48">
        <f>Data_Base_Normalisation[[#This Row],[Normalisation Total]]-Data_Base_Normalisation[[#This Row],[Normalisation exécutée]]</f>
        <v>1</v>
      </c>
      <c r="Z49" s="42" t="str">
        <f t="shared" si="2"/>
        <v>lundi</v>
      </c>
      <c r="AA49" s="42" t="str">
        <f t="shared" si="3"/>
        <v>15</v>
      </c>
      <c r="AB49" s="42" t="str">
        <f t="shared" si="4"/>
        <v>04</v>
      </c>
      <c r="AC49" s="42" t="str">
        <f t="shared" si="5"/>
        <v>2024</v>
      </c>
    </row>
    <row r="50" spans="1:29" x14ac:dyDescent="0.25">
      <c r="A50" s="41">
        <v>45397</v>
      </c>
      <c r="B50" s="42" t="s">
        <v>90</v>
      </c>
      <c r="C50" s="42" t="s">
        <v>9</v>
      </c>
      <c r="D50" s="42" t="s">
        <v>285</v>
      </c>
      <c r="E50" s="43" t="s">
        <v>473</v>
      </c>
      <c r="F50" s="44"/>
      <c r="G50" s="41"/>
      <c r="H50" s="42"/>
      <c r="I50" s="42" t="s">
        <v>666</v>
      </c>
      <c r="J50" s="45" t="s">
        <v>684</v>
      </c>
      <c r="K50" s="46">
        <v>45393</v>
      </c>
      <c r="L50" s="45"/>
      <c r="M50" s="42"/>
      <c r="N50" s="46"/>
      <c r="O50" s="42"/>
      <c r="P50" s="42"/>
      <c r="Q50" s="45"/>
      <c r="R50" s="45"/>
      <c r="S50" s="42"/>
      <c r="T50" s="47"/>
      <c r="U50" s="45"/>
      <c r="V50" s="42"/>
      <c r="W50" s="42">
        <f t="shared" si="0"/>
        <v>1</v>
      </c>
      <c r="X50" s="42">
        <f t="shared" si="1"/>
        <v>0</v>
      </c>
      <c r="Y50" s="48">
        <f>Data_Base_Normalisation[[#This Row],[Normalisation Total]]-Data_Base_Normalisation[[#This Row],[Normalisation exécutée]]</f>
        <v>1</v>
      </c>
      <c r="Z50" s="42" t="str">
        <f t="shared" si="2"/>
        <v>lundi</v>
      </c>
      <c r="AA50" s="42" t="str">
        <f t="shared" si="3"/>
        <v>15</v>
      </c>
      <c r="AB50" s="42" t="str">
        <f t="shared" si="4"/>
        <v>04</v>
      </c>
      <c r="AC50" s="42" t="str">
        <f t="shared" si="5"/>
        <v>2024</v>
      </c>
    </row>
    <row r="51" spans="1:29" x14ac:dyDescent="0.25">
      <c r="A51" s="41">
        <v>45397</v>
      </c>
      <c r="B51" s="42" t="s">
        <v>91</v>
      </c>
      <c r="C51" s="42" t="s">
        <v>1</v>
      </c>
      <c r="D51" s="42" t="s">
        <v>286</v>
      </c>
      <c r="E51" s="43" t="s">
        <v>474</v>
      </c>
      <c r="F51" s="44"/>
      <c r="G51" s="41"/>
      <c r="H51" s="42" t="s">
        <v>542</v>
      </c>
      <c r="I51" s="42" t="s">
        <v>666</v>
      </c>
      <c r="J51" s="45" t="s">
        <v>687</v>
      </c>
      <c r="K51" s="46">
        <v>45393</v>
      </c>
      <c r="L51" s="45"/>
      <c r="M51" s="42" t="s">
        <v>721</v>
      </c>
      <c r="N51" s="46">
        <v>45397</v>
      </c>
      <c r="O51" s="42" t="s">
        <v>755</v>
      </c>
      <c r="P51" s="42" t="s">
        <v>816</v>
      </c>
      <c r="Q51" s="45"/>
      <c r="R51" s="45"/>
      <c r="S51" s="42"/>
      <c r="T51" s="47"/>
      <c r="U51" s="45"/>
      <c r="V51" s="42" t="s">
        <v>904</v>
      </c>
      <c r="W51" s="42">
        <f t="shared" si="0"/>
        <v>1</v>
      </c>
      <c r="X51" s="42">
        <f t="shared" si="1"/>
        <v>1</v>
      </c>
      <c r="Y51" s="48">
        <f>Data_Base_Normalisation[[#This Row],[Normalisation Total]]-Data_Base_Normalisation[[#This Row],[Normalisation exécutée]]</f>
        <v>0</v>
      </c>
      <c r="Z51" s="42" t="str">
        <f t="shared" si="2"/>
        <v>lundi</v>
      </c>
      <c r="AA51" s="42" t="str">
        <f t="shared" si="3"/>
        <v>15</v>
      </c>
      <c r="AB51" s="42" t="str">
        <f t="shared" si="4"/>
        <v>04</v>
      </c>
      <c r="AC51" s="42" t="str">
        <f t="shared" si="5"/>
        <v>2024</v>
      </c>
    </row>
    <row r="52" spans="1:29" x14ac:dyDescent="0.25">
      <c r="A52" s="41">
        <v>45397</v>
      </c>
      <c r="B52" s="42" t="s">
        <v>92</v>
      </c>
      <c r="C52" s="42" t="s">
        <v>9</v>
      </c>
      <c r="D52" s="42" t="s">
        <v>287</v>
      </c>
      <c r="E52" s="43" t="s">
        <v>475</v>
      </c>
      <c r="F52" s="44" t="s">
        <v>497</v>
      </c>
      <c r="G52" s="41"/>
      <c r="H52" s="42" t="s">
        <v>538</v>
      </c>
      <c r="I52" s="42" t="s">
        <v>666</v>
      </c>
      <c r="J52" s="45" t="s">
        <v>684</v>
      </c>
      <c r="K52" s="46">
        <v>45399</v>
      </c>
      <c r="L52" s="45"/>
      <c r="M52" s="42" t="s">
        <v>728</v>
      </c>
      <c r="N52" s="46">
        <v>45397</v>
      </c>
      <c r="O52" s="42" t="s">
        <v>756</v>
      </c>
      <c r="P52" s="42" t="s">
        <v>817</v>
      </c>
      <c r="Q52" s="45"/>
      <c r="R52" s="45"/>
      <c r="S52" s="42"/>
      <c r="T52" s="47"/>
      <c r="U52" s="45"/>
      <c r="V52" s="42" t="s">
        <v>904</v>
      </c>
      <c r="W52" s="42">
        <f t="shared" si="0"/>
        <v>1</v>
      </c>
      <c r="X52" s="42">
        <f t="shared" si="1"/>
        <v>1</v>
      </c>
      <c r="Y52" s="48">
        <f>Data_Base_Normalisation[[#This Row],[Normalisation Total]]-Data_Base_Normalisation[[#This Row],[Normalisation exécutée]]</f>
        <v>0</v>
      </c>
      <c r="Z52" s="42" t="str">
        <f t="shared" si="2"/>
        <v>lundi</v>
      </c>
      <c r="AA52" s="42" t="str">
        <f t="shared" si="3"/>
        <v>15</v>
      </c>
      <c r="AB52" s="42" t="str">
        <f t="shared" si="4"/>
        <v>04</v>
      </c>
      <c r="AC52" s="42" t="str">
        <f t="shared" si="5"/>
        <v>2024</v>
      </c>
    </row>
    <row r="53" spans="1:29" x14ac:dyDescent="0.25">
      <c r="A53" s="41">
        <v>45397</v>
      </c>
      <c r="B53" s="42" t="s">
        <v>93</v>
      </c>
      <c r="C53" s="42" t="s">
        <v>1</v>
      </c>
      <c r="D53" s="42" t="s">
        <v>288</v>
      </c>
      <c r="E53" s="43" t="s">
        <v>476</v>
      </c>
      <c r="F53" s="44" t="s">
        <v>499</v>
      </c>
      <c r="G53" s="41"/>
      <c r="H53" s="42" t="s">
        <v>543</v>
      </c>
      <c r="I53" s="42" t="s">
        <v>666</v>
      </c>
      <c r="J53" s="45" t="s">
        <v>684</v>
      </c>
      <c r="K53" s="46">
        <v>45399</v>
      </c>
      <c r="L53" s="45"/>
      <c r="M53" s="42" t="s">
        <v>721</v>
      </c>
      <c r="N53" s="46">
        <v>45397</v>
      </c>
      <c r="O53" s="42" t="s">
        <v>755</v>
      </c>
      <c r="P53" s="42" t="s">
        <v>818</v>
      </c>
      <c r="Q53" s="45"/>
      <c r="R53" s="45"/>
      <c r="S53" s="42"/>
      <c r="T53" s="47"/>
      <c r="U53" s="45"/>
      <c r="V53" s="42" t="s">
        <v>905</v>
      </c>
      <c r="W53" s="42">
        <f t="shared" si="0"/>
        <v>1</v>
      </c>
      <c r="X53" s="42">
        <f t="shared" si="1"/>
        <v>1</v>
      </c>
      <c r="Y53" s="48">
        <f>Data_Base_Normalisation[[#This Row],[Normalisation Total]]-Data_Base_Normalisation[[#This Row],[Normalisation exécutée]]</f>
        <v>0</v>
      </c>
      <c r="Z53" s="42" t="str">
        <f t="shared" si="2"/>
        <v>lundi</v>
      </c>
      <c r="AA53" s="42" t="str">
        <f t="shared" si="3"/>
        <v>15</v>
      </c>
      <c r="AB53" s="42" t="str">
        <f t="shared" si="4"/>
        <v>04</v>
      </c>
      <c r="AC53" s="42" t="str">
        <f t="shared" si="5"/>
        <v>2024</v>
      </c>
    </row>
    <row r="54" spans="1:29" x14ac:dyDescent="0.25">
      <c r="A54" s="41">
        <v>45397</v>
      </c>
      <c r="B54" s="42" t="s">
        <v>94</v>
      </c>
      <c r="C54" s="42" t="s">
        <v>1</v>
      </c>
      <c r="D54" s="42" t="s">
        <v>289</v>
      </c>
      <c r="E54" s="43" t="s">
        <v>477</v>
      </c>
      <c r="F54" s="44" t="s">
        <v>497</v>
      </c>
      <c r="G54" s="41"/>
      <c r="H54" s="42" t="s">
        <v>544</v>
      </c>
      <c r="I54" s="42" t="s">
        <v>666</v>
      </c>
      <c r="J54" s="45" t="s">
        <v>685</v>
      </c>
      <c r="K54" s="46">
        <v>45399</v>
      </c>
      <c r="L54" s="45"/>
      <c r="M54" s="42" t="s">
        <v>719</v>
      </c>
      <c r="N54" s="46">
        <v>45397</v>
      </c>
      <c r="O54" s="42" t="s">
        <v>745</v>
      </c>
      <c r="P54" s="42" t="s">
        <v>819</v>
      </c>
      <c r="Q54" s="45"/>
      <c r="R54" s="45"/>
      <c r="S54" s="42"/>
      <c r="T54" s="47"/>
      <c r="U54" s="45"/>
      <c r="V54" s="42" t="s">
        <v>904</v>
      </c>
      <c r="W54" s="42">
        <f t="shared" si="0"/>
        <v>1</v>
      </c>
      <c r="X54" s="42">
        <f t="shared" si="1"/>
        <v>1</v>
      </c>
      <c r="Y54" s="48">
        <f>Data_Base_Normalisation[[#This Row],[Normalisation Total]]-Data_Base_Normalisation[[#This Row],[Normalisation exécutée]]</f>
        <v>0</v>
      </c>
      <c r="Z54" s="42" t="str">
        <f t="shared" si="2"/>
        <v>lundi</v>
      </c>
      <c r="AA54" s="42" t="str">
        <f t="shared" si="3"/>
        <v>15</v>
      </c>
      <c r="AB54" s="42" t="str">
        <f t="shared" si="4"/>
        <v>04</v>
      </c>
      <c r="AC54" s="42" t="str">
        <f t="shared" si="5"/>
        <v>2024</v>
      </c>
    </row>
    <row r="55" spans="1:29" x14ac:dyDescent="0.25">
      <c r="A55" s="41">
        <v>45397</v>
      </c>
      <c r="B55" s="42" t="s">
        <v>95</v>
      </c>
      <c r="C55" s="42" t="s">
        <v>908</v>
      </c>
      <c r="D55" s="42" t="s">
        <v>290</v>
      </c>
      <c r="E55" s="43" t="s">
        <v>478</v>
      </c>
      <c r="F55" s="44" t="s">
        <v>499</v>
      </c>
      <c r="G55" s="41"/>
      <c r="H55" s="42" t="s">
        <v>545</v>
      </c>
      <c r="I55" s="42" t="s">
        <v>666</v>
      </c>
      <c r="J55" s="45" t="s">
        <v>685</v>
      </c>
      <c r="K55" s="46">
        <v>45420</v>
      </c>
      <c r="L55" s="45"/>
      <c r="M55" s="42" t="s">
        <v>719</v>
      </c>
      <c r="N55" s="46">
        <v>45397</v>
      </c>
      <c r="O55" s="42" t="s">
        <v>745</v>
      </c>
      <c r="P55" s="42" t="s">
        <v>820</v>
      </c>
      <c r="Q55" s="45"/>
      <c r="R55" s="45"/>
      <c r="S55" s="42"/>
      <c r="T55" s="47"/>
      <c r="U55" s="45"/>
      <c r="V55" s="42" t="s">
        <v>904</v>
      </c>
      <c r="W55" s="42">
        <f t="shared" si="0"/>
        <v>1</v>
      </c>
      <c r="X55" s="42">
        <f t="shared" si="1"/>
        <v>1</v>
      </c>
      <c r="Y55" s="48">
        <f>Data_Base_Normalisation[[#This Row],[Normalisation Total]]-Data_Base_Normalisation[[#This Row],[Normalisation exécutée]]</f>
        <v>0</v>
      </c>
      <c r="Z55" s="42" t="str">
        <f t="shared" si="2"/>
        <v>lundi</v>
      </c>
      <c r="AA55" s="42" t="str">
        <f t="shared" si="3"/>
        <v>15</v>
      </c>
      <c r="AB55" s="42" t="str">
        <f t="shared" si="4"/>
        <v>04</v>
      </c>
      <c r="AC55" s="42" t="str">
        <f t="shared" si="5"/>
        <v>2024</v>
      </c>
    </row>
    <row r="56" spans="1:29" x14ac:dyDescent="0.25">
      <c r="A56" s="41">
        <v>45397</v>
      </c>
      <c r="B56" s="42" t="s">
        <v>96</v>
      </c>
      <c r="C56" s="42" t="s">
        <v>908</v>
      </c>
      <c r="D56" s="42" t="s">
        <v>291</v>
      </c>
      <c r="E56" s="43" t="s">
        <v>479</v>
      </c>
      <c r="F56" s="44" t="s">
        <v>497</v>
      </c>
      <c r="G56" s="41"/>
      <c r="H56" s="42" t="s">
        <v>545</v>
      </c>
      <c r="I56" s="42" t="s">
        <v>666</v>
      </c>
      <c r="J56" s="45" t="s">
        <v>685</v>
      </c>
      <c r="K56" s="46">
        <v>45420</v>
      </c>
      <c r="L56" s="45"/>
      <c r="M56" s="42" t="s">
        <v>723</v>
      </c>
      <c r="N56" s="46">
        <v>45397</v>
      </c>
      <c r="O56" s="42" t="s">
        <v>757</v>
      </c>
      <c r="P56" s="42" t="s">
        <v>821</v>
      </c>
      <c r="Q56" s="45"/>
      <c r="R56" s="45"/>
      <c r="S56" s="42"/>
      <c r="T56" s="47"/>
      <c r="U56" s="45"/>
      <c r="V56" s="42" t="s">
        <v>904</v>
      </c>
      <c r="W56" s="42">
        <f t="shared" si="0"/>
        <v>1</v>
      </c>
      <c r="X56" s="42">
        <f t="shared" si="1"/>
        <v>1</v>
      </c>
      <c r="Y56" s="48">
        <f>Data_Base_Normalisation[[#This Row],[Normalisation Total]]-Data_Base_Normalisation[[#This Row],[Normalisation exécutée]]</f>
        <v>0</v>
      </c>
      <c r="Z56" s="42" t="str">
        <f t="shared" si="2"/>
        <v>lundi</v>
      </c>
      <c r="AA56" s="42" t="str">
        <f t="shared" si="3"/>
        <v>15</v>
      </c>
      <c r="AB56" s="42" t="str">
        <f t="shared" si="4"/>
        <v>04</v>
      </c>
      <c r="AC56" s="42" t="str">
        <f t="shared" si="5"/>
        <v>2024</v>
      </c>
    </row>
    <row r="57" spans="1:29" x14ac:dyDescent="0.25">
      <c r="A57" s="41">
        <v>45397</v>
      </c>
      <c r="B57" s="42" t="s">
        <v>97</v>
      </c>
      <c r="C57" s="42" t="s">
        <v>908</v>
      </c>
      <c r="D57" s="42" t="s">
        <v>292</v>
      </c>
      <c r="E57" s="43" t="s">
        <v>480</v>
      </c>
      <c r="F57" s="44" t="s">
        <v>497</v>
      </c>
      <c r="G57" s="41"/>
      <c r="H57" s="42" t="s">
        <v>546</v>
      </c>
      <c r="I57" s="42" t="s">
        <v>666</v>
      </c>
      <c r="J57" s="45" t="s">
        <v>685</v>
      </c>
      <c r="K57" s="46">
        <v>45420</v>
      </c>
      <c r="L57" s="45" t="s">
        <v>699</v>
      </c>
      <c r="M57" s="42" t="s">
        <v>729</v>
      </c>
      <c r="N57" s="46">
        <v>45397</v>
      </c>
      <c r="O57" s="42" t="s">
        <v>742</v>
      </c>
      <c r="P57" s="42" t="s">
        <v>822</v>
      </c>
      <c r="Q57" s="45"/>
      <c r="R57" s="45"/>
      <c r="S57" s="42"/>
      <c r="T57" s="47"/>
      <c r="U57" s="45"/>
      <c r="V57" s="42" t="s">
        <v>904</v>
      </c>
      <c r="W57" s="42">
        <f t="shared" si="0"/>
        <v>1</v>
      </c>
      <c r="X57" s="42">
        <f t="shared" si="1"/>
        <v>1</v>
      </c>
      <c r="Y57" s="48">
        <f>Data_Base_Normalisation[[#This Row],[Normalisation Total]]-Data_Base_Normalisation[[#This Row],[Normalisation exécutée]]</f>
        <v>0</v>
      </c>
      <c r="Z57" s="42" t="str">
        <f t="shared" si="2"/>
        <v>lundi</v>
      </c>
      <c r="AA57" s="42" t="str">
        <f t="shared" si="3"/>
        <v>15</v>
      </c>
      <c r="AB57" s="42" t="str">
        <f t="shared" si="4"/>
        <v>04</v>
      </c>
      <c r="AC57" s="42" t="str">
        <f t="shared" si="5"/>
        <v>2024</v>
      </c>
    </row>
    <row r="58" spans="1:29" x14ac:dyDescent="0.25">
      <c r="A58" s="41">
        <v>45397</v>
      </c>
      <c r="B58" s="42" t="s">
        <v>98</v>
      </c>
      <c r="C58" s="42" t="s">
        <v>9</v>
      </c>
      <c r="D58" s="42" t="s">
        <v>293</v>
      </c>
      <c r="E58" s="43" t="s">
        <v>481</v>
      </c>
      <c r="F58" s="44" t="s">
        <v>497</v>
      </c>
      <c r="G58" s="41"/>
      <c r="H58" s="42" t="s">
        <v>547</v>
      </c>
      <c r="I58" s="42" t="s">
        <v>666</v>
      </c>
      <c r="J58" s="45" t="s">
        <v>685</v>
      </c>
      <c r="K58" s="46">
        <v>45393</v>
      </c>
      <c r="L58" s="45" t="s">
        <v>707</v>
      </c>
      <c r="M58" s="42" t="s">
        <v>14</v>
      </c>
      <c r="N58" s="46">
        <v>45397</v>
      </c>
      <c r="O58" s="42" t="s">
        <v>14</v>
      </c>
      <c r="P58" s="42" t="s">
        <v>823</v>
      </c>
      <c r="Q58" s="45"/>
      <c r="R58" s="45"/>
      <c r="S58" s="42"/>
      <c r="T58" s="47"/>
      <c r="U58" s="45"/>
      <c r="V58" s="42" t="s">
        <v>904</v>
      </c>
      <c r="W58" s="42">
        <f t="shared" si="0"/>
        <v>1</v>
      </c>
      <c r="X58" s="42">
        <f t="shared" si="1"/>
        <v>1</v>
      </c>
      <c r="Y58" s="48">
        <f>Data_Base_Normalisation[[#This Row],[Normalisation Total]]-Data_Base_Normalisation[[#This Row],[Normalisation exécutée]]</f>
        <v>0</v>
      </c>
      <c r="Z58" s="42" t="str">
        <f t="shared" si="2"/>
        <v>lundi</v>
      </c>
      <c r="AA58" s="42" t="str">
        <f t="shared" si="3"/>
        <v>15</v>
      </c>
      <c r="AB58" s="42" t="str">
        <f t="shared" si="4"/>
        <v>04</v>
      </c>
      <c r="AC58" s="42" t="str">
        <f t="shared" si="5"/>
        <v>2024</v>
      </c>
    </row>
    <row r="59" spans="1:29" x14ac:dyDescent="0.25">
      <c r="A59" s="41">
        <v>45397</v>
      </c>
      <c r="B59" s="42" t="s">
        <v>99</v>
      </c>
      <c r="C59" s="42" t="s">
        <v>9</v>
      </c>
      <c r="D59" s="42" t="s">
        <v>294</v>
      </c>
      <c r="E59" s="43" t="s">
        <v>482</v>
      </c>
      <c r="F59" s="44" t="s">
        <v>497</v>
      </c>
      <c r="G59" s="41"/>
      <c r="H59" s="42" t="s">
        <v>548</v>
      </c>
      <c r="I59" s="42" t="s">
        <v>666</v>
      </c>
      <c r="J59" s="45" t="s">
        <v>685</v>
      </c>
      <c r="K59" s="46">
        <v>45393</v>
      </c>
      <c r="L59" s="45" t="s">
        <v>704</v>
      </c>
      <c r="M59" s="42" t="s">
        <v>20</v>
      </c>
      <c r="N59" s="46">
        <v>45397</v>
      </c>
      <c r="O59" s="42" t="s">
        <v>20</v>
      </c>
      <c r="P59" s="42" t="s">
        <v>824</v>
      </c>
      <c r="Q59" s="45"/>
      <c r="R59" s="45"/>
      <c r="S59" s="42"/>
      <c r="T59" s="47"/>
      <c r="U59" s="45"/>
      <c r="V59" s="42" t="s">
        <v>904</v>
      </c>
      <c r="W59" s="42">
        <f t="shared" si="0"/>
        <v>1</v>
      </c>
      <c r="X59" s="42">
        <f t="shared" si="1"/>
        <v>1</v>
      </c>
      <c r="Y59" s="48">
        <f>Data_Base_Normalisation[[#This Row],[Normalisation Total]]-Data_Base_Normalisation[[#This Row],[Normalisation exécutée]]</f>
        <v>0</v>
      </c>
      <c r="Z59" s="42" t="str">
        <f t="shared" si="2"/>
        <v>lundi</v>
      </c>
      <c r="AA59" s="42" t="str">
        <f t="shared" si="3"/>
        <v>15</v>
      </c>
      <c r="AB59" s="42" t="str">
        <f t="shared" si="4"/>
        <v>04</v>
      </c>
      <c r="AC59" s="42" t="str">
        <f t="shared" si="5"/>
        <v>2024</v>
      </c>
    </row>
    <row r="60" spans="1:29" x14ac:dyDescent="0.25">
      <c r="A60" s="41">
        <v>45397</v>
      </c>
      <c r="B60" s="42" t="s">
        <v>100</v>
      </c>
      <c r="C60" s="42" t="s">
        <v>9</v>
      </c>
      <c r="D60" s="42" t="s">
        <v>295</v>
      </c>
      <c r="E60" s="43" t="s">
        <v>483</v>
      </c>
      <c r="F60" s="44" t="s">
        <v>498</v>
      </c>
      <c r="G60" s="41"/>
      <c r="H60" s="42" t="s">
        <v>549</v>
      </c>
      <c r="I60" s="42" t="s">
        <v>666</v>
      </c>
      <c r="J60" s="45" t="s">
        <v>685</v>
      </c>
      <c r="K60" s="46">
        <v>45393</v>
      </c>
      <c r="L60" s="45" t="s">
        <v>704</v>
      </c>
      <c r="M60" s="42" t="s">
        <v>20</v>
      </c>
      <c r="N60" s="46">
        <v>45397</v>
      </c>
      <c r="O60" s="42" t="s">
        <v>20</v>
      </c>
      <c r="P60" s="42" t="s">
        <v>825</v>
      </c>
      <c r="Q60" s="45"/>
      <c r="R60" s="45"/>
      <c r="S60" s="42"/>
      <c r="T60" s="47"/>
      <c r="U60" s="45"/>
      <c r="V60" s="42" t="s">
        <v>904</v>
      </c>
      <c r="W60" s="42">
        <f t="shared" si="0"/>
        <v>1</v>
      </c>
      <c r="X60" s="42">
        <f t="shared" si="1"/>
        <v>1</v>
      </c>
      <c r="Y60" s="48">
        <f>Data_Base_Normalisation[[#This Row],[Normalisation Total]]-Data_Base_Normalisation[[#This Row],[Normalisation exécutée]]</f>
        <v>0</v>
      </c>
      <c r="Z60" s="42" t="str">
        <f t="shared" si="2"/>
        <v>lundi</v>
      </c>
      <c r="AA60" s="42" t="str">
        <f t="shared" si="3"/>
        <v>15</v>
      </c>
      <c r="AB60" s="42" t="str">
        <f t="shared" si="4"/>
        <v>04</v>
      </c>
      <c r="AC60" s="42" t="str">
        <f t="shared" si="5"/>
        <v>2024</v>
      </c>
    </row>
    <row r="61" spans="1:29" x14ac:dyDescent="0.25">
      <c r="A61" s="41">
        <v>45397</v>
      </c>
      <c r="B61" s="42" t="s">
        <v>101</v>
      </c>
      <c r="C61" s="42" t="s">
        <v>9</v>
      </c>
      <c r="D61" s="42" t="s">
        <v>296</v>
      </c>
      <c r="E61" s="43" t="s">
        <v>484</v>
      </c>
      <c r="F61" s="44" t="s">
        <v>497</v>
      </c>
      <c r="G61" s="41"/>
      <c r="H61" s="42" t="s">
        <v>550</v>
      </c>
      <c r="I61" s="42" t="s">
        <v>666</v>
      </c>
      <c r="J61" s="45" t="s">
        <v>684</v>
      </c>
      <c r="K61" s="46">
        <v>45393</v>
      </c>
      <c r="L61" s="45" t="s">
        <v>704</v>
      </c>
      <c r="M61" s="42" t="s">
        <v>20</v>
      </c>
      <c r="N61" s="46">
        <v>45397</v>
      </c>
      <c r="O61" s="42" t="s">
        <v>20</v>
      </c>
      <c r="P61" s="42" t="s">
        <v>826</v>
      </c>
      <c r="Q61" s="45"/>
      <c r="R61" s="45"/>
      <c r="S61" s="42"/>
      <c r="T61" s="47"/>
      <c r="U61" s="45"/>
      <c r="V61" s="42" t="s">
        <v>904</v>
      </c>
      <c r="W61" s="42">
        <f t="shared" si="0"/>
        <v>1</v>
      </c>
      <c r="X61" s="42">
        <f t="shared" si="1"/>
        <v>1</v>
      </c>
      <c r="Y61" s="48">
        <f>Data_Base_Normalisation[[#This Row],[Normalisation Total]]-Data_Base_Normalisation[[#This Row],[Normalisation exécutée]]</f>
        <v>0</v>
      </c>
      <c r="Z61" s="42" t="str">
        <f t="shared" si="2"/>
        <v>lundi</v>
      </c>
      <c r="AA61" s="42" t="str">
        <f t="shared" si="3"/>
        <v>15</v>
      </c>
      <c r="AB61" s="42" t="str">
        <f t="shared" si="4"/>
        <v>04</v>
      </c>
      <c r="AC61" s="42" t="str">
        <f t="shared" si="5"/>
        <v>2024</v>
      </c>
    </row>
    <row r="62" spans="1:29" x14ac:dyDescent="0.25">
      <c r="A62" s="41">
        <v>45397</v>
      </c>
      <c r="B62" s="42" t="s">
        <v>102</v>
      </c>
      <c r="C62" s="42" t="s">
        <v>908</v>
      </c>
      <c r="D62" s="42" t="s">
        <v>297</v>
      </c>
      <c r="E62" s="43" t="s">
        <v>485</v>
      </c>
      <c r="F62" s="44" t="s">
        <v>497</v>
      </c>
      <c r="G62" s="41"/>
      <c r="H62" s="42" t="s">
        <v>551</v>
      </c>
      <c r="I62" s="42" t="s">
        <v>666</v>
      </c>
      <c r="J62" s="45" t="s">
        <v>684</v>
      </c>
      <c r="K62" s="46">
        <v>45418</v>
      </c>
      <c r="L62" s="45"/>
      <c r="M62" s="42" t="s">
        <v>723</v>
      </c>
      <c r="N62" s="46">
        <v>45397</v>
      </c>
      <c r="O62" s="42" t="s">
        <v>757</v>
      </c>
      <c r="P62" s="42" t="s">
        <v>807</v>
      </c>
      <c r="Q62" s="45"/>
      <c r="R62" s="45"/>
      <c r="S62" s="42"/>
      <c r="T62" s="47"/>
      <c r="U62" s="45"/>
      <c r="V62" s="42" t="s">
        <v>905</v>
      </c>
      <c r="W62" s="42">
        <f t="shared" si="0"/>
        <v>1</v>
      </c>
      <c r="X62" s="42">
        <f t="shared" si="1"/>
        <v>1</v>
      </c>
      <c r="Y62" s="48">
        <f>Data_Base_Normalisation[[#This Row],[Normalisation Total]]-Data_Base_Normalisation[[#This Row],[Normalisation exécutée]]</f>
        <v>0</v>
      </c>
      <c r="Z62" s="42" t="str">
        <f t="shared" si="2"/>
        <v>lundi</v>
      </c>
      <c r="AA62" s="42" t="str">
        <f t="shared" si="3"/>
        <v>15</v>
      </c>
      <c r="AB62" s="42" t="str">
        <f t="shared" si="4"/>
        <v>04</v>
      </c>
      <c r="AC62" s="42" t="str">
        <f t="shared" si="5"/>
        <v>2024</v>
      </c>
    </row>
    <row r="63" spans="1:29" x14ac:dyDescent="0.25">
      <c r="A63" s="41">
        <v>45397</v>
      </c>
      <c r="B63" s="42" t="s">
        <v>103</v>
      </c>
      <c r="C63" s="42" t="s">
        <v>9</v>
      </c>
      <c r="D63" s="42" t="s">
        <v>298</v>
      </c>
      <c r="E63" s="43" t="s">
        <v>486</v>
      </c>
      <c r="F63" s="44" t="s">
        <v>499</v>
      </c>
      <c r="G63" s="41"/>
      <c r="H63" s="42" t="s">
        <v>552</v>
      </c>
      <c r="I63" s="42" t="s">
        <v>666</v>
      </c>
      <c r="J63" s="45" t="s">
        <v>685</v>
      </c>
      <c r="K63" s="46">
        <v>45418</v>
      </c>
      <c r="L63" s="45"/>
      <c r="M63" s="42" t="s">
        <v>718</v>
      </c>
      <c r="N63" s="46">
        <v>45397</v>
      </c>
      <c r="O63" s="42" t="s">
        <v>718</v>
      </c>
      <c r="P63" s="42" t="s">
        <v>827</v>
      </c>
      <c r="Q63" s="45"/>
      <c r="R63" s="45"/>
      <c r="S63" s="42"/>
      <c r="T63" s="47"/>
      <c r="U63" s="45"/>
      <c r="V63" s="42" t="s">
        <v>904</v>
      </c>
      <c r="W63" s="42">
        <f t="shared" si="0"/>
        <v>1</v>
      </c>
      <c r="X63" s="42">
        <f t="shared" si="1"/>
        <v>1</v>
      </c>
      <c r="Y63" s="48">
        <f>Data_Base_Normalisation[[#This Row],[Normalisation Total]]-Data_Base_Normalisation[[#This Row],[Normalisation exécutée]]</f>
        <v>0</v>
      </c>
      <c r="Z63" s="42" t="str">
        <f t="shared" si="2"/>
        <v>lundi</v>
      </c>
      <c r="AA63" s="42" t="str">
        <f t="shared" si="3"/>
        <v>15</v>
      </c>
      <c r="AB63" s="42" t="str">
        <f t="shared" si="4"/>
        <v>04</v>
      </c>
      <c r="AC63" s="42" t="str">
        <f t="shared" si="5"/>
        <v>2024</v>
      </c>
    </row>
    <row r="64" spans="1:29" x14ac:dyDescent="0.25">
      <c r="A64" s="41">
        <v>45397</v>
      </c>
      <c r="B64" s="42" t="s">
        <v>104</v>
      </c>
      <c r="C64" s="42" t="s">
        <v>1</v>
      </c>
      <c r="D64" s="42" t="s">
        <v>299</v>
      </c>
      <c r="E64" s="43" t="s">
        <v>487</v>
      </c>
      <c r="F64" s="44" t="s">
        <v>497</v>
      </c>
      <c r="G64" s="41"/>
      <c r="H64" s="42" t="s">
        <v>553</v>
      </c>
      <c r="I64" s="42" t="s">
        <v>666</v>
      </c>
      <c r="J64" s="45" t="s">
        <v>685</v>
      </c>
      <c r="K64" s="46">
        <v>45397</v>
      </c>
      <c r="L64" s="45"/>
      <c r="M64" s="42" t="s">
        <v>718</v>
      </c>
      <c r="N64" s="46">
        <v>45397</v>
      </c>
      <c r="O64" s="42" t="s">
        <v>718</v>
      </c>
      <c r="P64" s="42" t="s">
        <v>828</v>
      </c>
      <c r="Q64" s="45"/>
      <c r="R64" s="45"/>
      <c r="S64" s="42"/>
      <c r="T64" s="47"/>
      <c r="U64" s="45"/>
      <c r="V64" s="42" t="s">
        <v>904</v>
      </c>
      <c r="W64" s="42">
        <f t="shared" si="0"/>
        <v>1</v>
      </c>
      <c r="X64" s="42">
        <f t="shared" si="1"/>
        <v>1</v>
      </c>
      <c r="Y64" s="48">
        <f>Data_Base_Normalisation[[#This Row],[Normalisation Total]]-Data_Base_Normalisation[[#This Row],[Normalisation exécutée]]</f>
        <v>0</v>
      </c>
      <c r="Z64" s="42" t="str">
        <f t="shared" si="2"/>
        <v>lundi</v>
      </c>
      <c r="AA64" s="42" t="str">
        <f t="shared" si="3"/>
        <v>15</v>
      </c>
      <c r="AB64" s="42" t="str">
        <f t="shared" si="4"/>
        <v>04</v>
      </c>
      <c r="AC64" s="42" t="str">
        <f t="shared" si="5"/>
        <v>2024</v>
      </c>
    </row>
    <row r="65" spans="1:29" x14ac:dyDescent="0.25">
      <c r="A65" s="41">
        <v>45397</v>
      </c>
      <c r="B65" s="42" t="s">
        <v>105</v>
      </c>
      <c r="C65" s="42" t="s">
        <v>1</v>
      </c>
      <c r="D65" s="42" t="s">
        <v>300</v>
      </c>
      <c r="E65" s="43" t="s">
        <v>488</v>
      </c>
      <c r="F65" s="44" t="s">
        <v>497</v>
      </c>
      <c r="G65" s="41"/>
      <c r="H65" s="42" t="s">
        <v>554</v>
      </c>
      <c r="I65" s="42" t="s">
        <v>666</v>
      </c>
      <c r="J65" s="45" t="s">
        <v>685</v>
      </c>
      <c r="K65" s="46">
        <v>45398</v>
      </c>
      <c r="L65" s="45"/>
      <c r="M65" s="42" t="s">
        <v>718</v>
      </c>
      <c r="N65" s="46">
        <v>45397</v>
      </c>
      <c r="O65" s="42" t="s">
        <v>718</v>
      </c>
      <c r="P65" s="42" t="s">
        <v>829</v>
      </c>
      <c r="Q65" s="45"/>
      <c r="R65" s="45"/>
      <c r="S65" s="42"/>
      <c r="T65" s="47"/>
      <c r="U65" s="45"/>
      <c r="V65" s="42" t="s">
        <v>904</v>
      </c>
      <c r="W65" s="42">
        <f t="shared" si="0"/>
        <v>1</v>
      </c>
      <c r="X65" s="42">
        <f t="shared" si="1"/>
        <v>1</v>
      </c>
      <c r="Y65" s="48">
        <f>Data_Base_Normalisation[[#This Row],[Normalisation Total]]-Data_Base_Normalisation[[#This Row],[Normalisation exécutée]]</f>
        <v>0</v>
      </c>
      <c r="Z65" s="42" t="str">
        <f t="shared" si="2"/>
        <v>lundi</v>
      </c>
      <c r="AA65" s="42" t="str">
        <f t="shared" si="3"/>
        <v>15</v>
      </c>
      <c r="AB65" s="42" t="str">
        <f t="shared" si="4"/>
        <v>04</v>
      </c>
      <c r="AC65" s="42" t="str">
        <f t="shared" si="5"/>
        <v>2024</v>
      </c>
    </row>
    <row r="66" spans="1:29" x14ac:dyDescent="0.25">
      <c r="A66" s="41">
        <v>45397</v>
      </c>
      <c r="B66" s="42" t="s">
        <v>106</v>
      </c>
      <c r="C66" s="42" t="s">
        <v>1</v>
      </c>
      <c r="D66" s="42" t="s">
        <v>301</v>
      </c>
      <c r="E66" s="43" t="s">
        <v>489</v>
      </c>
      <c r="F66" s="44" t="s">
        <v>497</v>
      </c>
      <c r="G66" s="41"/>
      <c r="H66" s="42" t="s">
        <v>555</v>
      </c>
      <c r="I66" s="42" t="s">
        <v>666</v>
      </c>
      <c r="J66" s="45" t="s">
        <v>684</v>
      </c>
      <c r="K66" s="46">
        <v>45398</v>
      </c>
      <c r="L66" s="45"/>
      <c r="M66" s="42" t="s">
        <v>730</v>
      </c>
      <c r="N66" s="46">
        <v>45397</v>
      </c>
      <c r="O66" s="42" t="s">
        <v>743</v>
      </c>
      <c r="P66" s="42"/>
      <c r="Q66" s="45"/>
      <c r="R66" s="45"/>
      <c r="S66" s="42"/>
      <c r="T66" s="47"/>
      <c r="U66" s="45"/>
      <c r="V66" s="42" t="s">
        <v>905</v>
      </c>
      <c r="W66" s="42">
        <f t="shared" si="0"/>
        <v>1</v>
      </c>
      <c r="X66" s="42">
        <f t="shared" si="1"/>
        <v>0</v>
      </c>
      <c r="Y66" s="48">
        <f>Data_Base_Normalisation[[#This Row],[Normalisation Total]]-Data_Base_Normalisation[[#This Row],[Normalisation exécutée]]</f>
        <v>1</v>
      </c>
      <c r="Z66" s="42" t="str">
        <f t="shared" si="2"/>
        <v>lundi</v>
      </c>
      <c r="AA66" s="42" t="str">
        <f t="shared" si="3"/>
        <v>15</v>
      </c>
      <c r="AB66" s="42" t="str">
        <f t="shared" si="4"/>
        <v>04</v>
      </c>
      <c r="AC66" s="42" t="str">
        <f t="shared" si="5"/>
        <v>2024</v>
      </c>
    </row>
    <row r="67" spans="1:29" x14ac:dyDescent="0.25">
      <c r="A67" s="41">
        <v>45397</v>
      </c>
      <c r="B67" s="42" t="s">
        <v>107</v>
      </c>
      <c r="C67" s="42" t="s">
        <v>908</v>
      </c>
      <c r="D67" s="42" t="s">
        <v>302</v>
      </c>
      <c r="E67" s="43" t="s">
        <v>490</v>
      </c>
      <c r="F67" s="44" t="s">
        <v>498</v>
      </c>
      <c r="G67" s="41"/>
      <c r="H67" s="42" t="s">
        <v>556</v>
      </c>
      <c r="I67" s="42" t="s">
        <v>666</v>
      </c>
      <c r="J67" s="45"/>
      <c r="K67" s="46">
        <v>45418</v>
      </c>
      <c r="L67" s="45"/>
      <c r="M67" s="42"/>
      <c r="N67" s="46"/>
      <c r="O67" s="42"/>
      <c r="P67" s="42"/>
      <c r="Q67" s="45"/>
      <c r="R67" s="45"/>
      <c r="S67" s="42"/>
      <c r="T67" s="47"/>
      <c r="U67" s="45"/>
      <c r="V67" s="42"/>
      <c r="W67" s="42">
        <f t="shared" ref="W67:W130" si="6">COUNTA(B67)</f>
        <v>1</v>
      </c>
      <c r="X67" s="42">
        <f t="shared" ref="X67:X130" si="7">COUNTA(P67)</f>
        <v>0</v>
      </c>
      <c r="Y67" s="48">
        <f>Data_Base_Normalisation[[#This Row],[Normalisation Total]]-Data_Base_Normalisation[[#This Row],[Normalisation exécutée]]</f>
        <v>1</v>
      </c>
      <c r="Z67" s="42" t="str">
        <f t="shared" ref="Z67:Z130" si="8">IF(A67=""," ",TEXT(A67,"jjjj"))</f>
        <v>lundi</v>
      </c>
      <c r="AA67" s="42" t="str">
        <f t="shared" ref="AA67:AA130" si="9">IF(A67=""," ",TEXT(A67,"jj"))</f>
        <v>15</v>
      </c>
      <c r="AB67" s="42" t="str">
        <f t="shared" ref="AB67:AB130" si="10">IF(A67=""," ",TEXT(A67,"mm"))</f>
        <v>04</v>
      </c>
      <c r="AC67" s="42" t="str">
        <f t="shared" ref="AC67:AC130" si="11">IF(A67=""," ",TEXT(A67,"AAAA"))</f>
        <v>2024</v>
      </c>
    </row>
    <row r="68" spans="1:29" x14ac:dyDescent="0.25">
      <c r="A68" s="41">
        <v>45397</v>
      </c>
      <c r="B68" s="42" t="s">
        <v>108</v>
      </c>
      <c r="C68" s="42" t="s">
        <v>908</v>
      </c>
      <c r="D68" s="42" t="s">
        <v>303</v>
      </c>
      <c r="E68" s="43" t="s">
        <v>491</v>
      </c>
      <c r="F68" s="44" t="s">
        <v>496</v>
      </c>
      <c r="G68" s="41"/>
      <c r="H68" s="42" t="s">
        <v>557</v>
      </c>
      <c r="I68" s="42" t="s">
        <v>934</v>
      </c>
      <c r="J68" s="45" t="s">
        <v>688</v>
      </c>
      <c r="K68" s="46">
        <v>45398</v>
      </c>
      <c r="L68" s="45" t="s">
        <v>700</v>
      </c>
      <c r="M68" s="42" t="s">
        <v>730</v>
      </c>
      <c r="N68" s="46">
        <v>45397</v>
      </c>
      <c r="O68" s="42" t="s">
        <v>743</v>
      </c>
      <c r="P68" s="42"/>
      <c r="Q68" s="45"/>
      <c r="R68" s="45"/>
      <c r="S68" s="42"/>
      <c r="T68" s="47"/>
      <c r="U68" s="45"/>
      <c r="V68" s="42" t="s">
        <v>904</v>
      </c>
      <c r="W68" s="42">
        <f t="shared" si="6"/>
        <v>1</v>
      </c>
      <c r="X68" s="42">
        <f t="shared" si="7"/>
        <v>0</v>
      </c>
      <c r="Y68" s="48">
        <f>Data_Base_Normalisation[[#This Row],[Normalisation Total]]-Data_Base_Normalisation[[#This Row],[Normalisation exécutée]]</f>
        <v>1</v>
      </c>
      <c r="Z68" s="42" t="str">
        <f t="shared" si="8"/>
        <v>lundi</v>
      </c>
      <c r="AA68" s="42" t="str">
        <f t="shared" si="9"/>
        <v>15</v>
      </c>
      <c r="AB68" s="42" t="str">
        <f t="shared" si="10"/>
        <v>04</v>
      </c>
      <c r="AC68" s="42" t="str">
        <f t="shared" si="11"/>
        <v>2024</v>
      </c>
    </row>
    <row r="69" spans="1:29" x14ac:dyDescent="0.25">
      <c r="A69" s="41">
        <v>45397</v>
      </c>
      <c r="B69" s="42" t="s">
        <v>109</v>
      </c>
      <c r="C69" s="42" t="s">
        <v>908</v>
      </c>
      <c r="D69" s="42" t="s">
        <v>304</v>
      </c>
      <c r="E69" s="43" t="s">
        <v>492</v>
      </c>
      <c r="F69" s="44" t="s">
        <v>498</v>
      </c>
      <c r="G69" s="41"/>
      <c r="H69" s="42" t="s">
        <v>558</v>
      </c>
      <c r="I69" s="42" t="s">
        <v>666</v>
      </c>
      <c r="J69" s="45" t="s">
        <v>684</v>
      </c>
      <c r="K69" s="46">
        <v>45398</v>
      </c>
      <c r="L69" s="45" t="s">
        <v>704</v>
      </c>
      <c r="M69" s="42" t="s">
        <v>729</v>
      </c>
      <c r="N69" s="46">
        <v>45397</v>
      </c>
      <c r="O69" s="42" t="s">
        <v>742</v>
      </c>
      <c r="P69" s="42" t="s">
        <v>830</v>
      </c>
      <c r="Q69" s="45"/>
      <c r="R69" s="45"/>
      <c r="S69" s="42"/>
      <c r="T69" s="47"/>
      <c r="U69" s="45"/>
      <c r="V69" s="42" t="s">
        <v>904</v>
      </c>
      <c r="W69" s="42">
        <f t="shared" si="6"/>
        <v>1</v>
      </c>
      <c r="X69" s="42">
        <f t="shared" si="7"/>
        <v>1</v>
      </c>
      <c r="Y69" s="48">
        <f>Data_Base_Normalisation[[#This Row],[Normalisation Total]]-Data_Base_Normalisation[[#This Row],[Normalisation exécutée]]</f>
        <v>0</v>
      </c>
      <c r="Z69" s="42" t="str">
        <f t="shared" si="8"/>
        <v>lundi</v>
      </c>
      <c r="AA69" s="42" t="str">
        <f t="shared" si="9"/>
        <v>15</v>
      </c>
      <c r="AB69" s="42" t="str">
        <f t="shared" si="10"/>
        <v>04</v>
      </c>
      <c r="AC69" s="42" t="str">
        <f t="shared" si="11"/>
        <v>2024</v>
      </c>
    </row>
    <row r="70" spans="1:29" x14ac:dyDescent="0.25">
      <c r="A70" s="41">
        <v>45397</v>
      </c>
      <c r="B70" s="42" t="s">
        <v>110</v>
      </c>
      <c r="C70" s="42" t="s">
        <v>908</v>
      </c>
      <c r="D70" s="42" t="s">
        <v>305</v>
      </c>
      <c r="E70" s="43" t="s">
        <v>493</v>
      </c>
      <c r="F70" s="44" t="s">
        <v>499</v>
      </c>
      <c r="G70" s="41"/>
      <c r="H70" s="42" t="s">
        <v>559</v>
      </c>
      <c r="I70" s="42" t="s">
        <v>670</v>
      </c>
      <c r="J70" s="45" t="s">
        <v>684</v>
      </c>
      <c r="K70" s="46">
        <v>45398</v>
      </c>
      <c r="L70" s="45" t="s">
        <v>703</v>
      </c>
      <c r="M70" s="42" t="s">
        <v>19</v>
      </c>
      <c r="N70" s="46">
        <v>45397</v>
      </c>
      <c r="O70" s="42" t="s">
        <v>19</v>
      </c>
      <c r="P70" s="42" t="s">
        <v>831</v>
      </c>
      <c r="Q70" s="45"/>
      <c r="R70" s="45"/>
      <c r="S70" s="42"/>
      <c r="T70" s="47"/>
      <c r="U70" s="45"/>
      <c r="V70" s="42" t="s">
        <v>904</v>
      </c>
      <c r="W70" s="42">
        <f t="shared" si="6"/>
        <v>1</v>
      </c>
      <c r="X70" s="42">
        <f t="shared" si="7"/>
        <v>1</v>
      </c>
      <c r="Y70" s="48">
        <f>Data_Base_Normalisation[[#This Row],[Normalisation Total]]-Data_Base_Normalisation[[#This Row],[Normalisation exécutée]]</f>
        <v>0</v>
      </c>
      <c r="Z70" s="42" t="str">
        <f t="shared" si="8"/>
        <v>lundi</v>
      </c>
      <c r="AA70" s="42" t="str">
        <f t="shared" si="9"/>
        <v>15</v>
      </c>
      <c r="AB70" s="42" t="str">
        <f t="shared" si="10"/>
        <v>04</v>
      </c>
      <c r="AC70" s="42" t="str">
        <f t="shared" si="11"/>
        <v>2024</v>
      </c>
    </row>
    <row r="71" spans="1:29" x14ac:dyDescent="0.25">
      <c r="A71" s="41">
        <v>45397</v>
      </c>
      <c r="B71" s="42" t="s">
        <v>111</v>
      </c>
      <c r="C71" s="42" t="s">
        <v>908</v>
      </c>
      <c r="D71" s="42" t="s">
        <v>306</v>
      </c>
      <c r="E71" s="43" t="s">
        <v>494</v>
      </c>
      <c r="F71" s="44" t="s">
        <v>497</v>
      </c>
      <c r="G71" s="41"/>
      <c r="H71" s="42" t="s">
        <v>560</v>
      </c>
      <c r="I71" s="42" t="s">
        <v>670</v>
      </c>
      <c r="J71" s="45" t="s">
        <v>684</v>
      </c>
      <c r="K71" s="46">
        <v>45398</v>
      </c>
      <c r="L71" s="45" t="s">
        <v>699</v>
      </c>
      <c r="M71" s="42" t="s">
        <v>729</v>
      </c>
      <c r="N71" s="46">
        <v>45397</v>
      </c>
      <c r="O71" s="42" t="s">
        <v>729</v>
      </c>
      <c r="P71" s="42" t="s">
        <v>832</v>
      </c>
      <c r="Q71" s="45"/>
      <c r="R71" s="45"/>
      <c r="S71" s="42"/>
      <c r="T71" s="47"/>
      <c r="U71" s="45"/>
      <c r="V71" s="42" t="s">
        <v>904</v>
      </c>
      <c r="W71" s="42">
        <f t="shared" si="6"/>
        <v>1</v>
      </c>
      <c r="X71" s="42">
        <f t="shared" si="7"/>
        <v>1</v>
      </c>
      <c r="Y71" s="48">
        <f>Data_Base_Normalisation[[#This Row],[Normalisation Total]]-Data_Base_Normalisation[[#This Row],[Normalisation exécutée]]</f>
        <v>0</v>
      </c>
      <c r="Z71" s="42" t="str">
        <f t="shared" si="8"/>
        <v>lundi</v>
      </c>
      <c r="AA71" s="42" t="str">
        <f t="shared" si="9"/>
        <v>15</v>
      </c>
      <c r="AB71" s="42" t="str">
        <f t="shared" si="10"/>
        <v>04</v>
      </c>
      <c r="AC71" s="42" t="str">
        <f t="shared" si="11"/>
        <v>2024</v>
      </c>
    </row>
    <row r="72" spans="1:29" x14ac:dyDescent="0.25">
      <c r="A72" s="41">
        <v>45397</v>
      </c>
      <c r="B72" s="42" t="s">
        <v>112</v>
      </c>
      <c r="C72" s="42" t="s">
        <v>908</v>
      </c>
      <c r="D72" s="42" t="s">
        <v>307</v>
      </c>
      <c r="E72" s="43" t="s">
        <v>495</v>
      </c>
      <c r="F72" s="44" t="s">
        <v>497</v>
      </c>
      <c r="G72" s="41"/>
      <c r="H72" s="42" t="s">
        <v>561</v>
      </c>
      <c r="I72" s="42" t="s">
        <v>670</v>
      </c>
      <c r="J72" s="45" t="s">
        <v>684</v>
      </c>
      <c r="K72" s="46">
        <v>45391</v>
      </c>
      <c r="L72" s="45" t="s">
        <v>704</v>
      </c>
      <c r="M72" s="42" t="s">
        <v>729</v>
      </c>
      <c r="N72" s="46">
        <v>45397</v>
      </c>
      <c r="O72" s="42" t="s">
        <v>729</v>
      </c>
      <c r="P72" s="42" t="s">
        <v>833</v>
      </c>
      <c r="Q72" s="45"/>
      <c r="R72" s="45"/>
      <c r="S72" s="42"/>
      <c r="T72" s="47"/>
      <c r="U72" s="45"/>
      <c r="V72" s="42" t="s">
        <v>904</v>
      </c>
      <c r="W72" s="42">
        <f t="shared" si="6"/>
        <v>1</v>
      </c>
      <c r="X72" s="42">
        <f t="shared" si="7"/>
        <v>1</v>
      </c>
      <c r="Y72" s="48">
        <f>Data_Base_Normalisation[[#This Row],[Normalisation Total]]-Data_Base_Normalisation[[#This Row],[Normalisation exécutée]]</f>
        <v>0</v>
      </c>
      <c r="Z72" s="42" t="str">
        <f t="shared" si="8"/>
        <v>lundi</v>
      </c>
      <c r="AA72" s="42" t="str">
        <f t="shared" si="9"/>
        <v>15</v>
      </c>
      <c r="AB72" s="42" t="str">
        <f t="shared" si="10"/>
        <v>04</v>
      </c>
      <c r="AC72" s="42" t="str">
        <f t="shared" si="11"/>
        <v>2024</v>
      </c>
    </row>
    <row r="73" spans="1:29" x14ac:dyDescent="0.25">
      <c r="A73" s="41">
        <v>45397</v>
      </c>
      <c r="B73" s="42" t="s">
        <v>113</v>
      </c>
      <c r="C73" s="42" t="s">
        <v>908</v>
      </c>
      <c r="D73" s="42" t="s">
        <v>308</v>
      </c>
      <c r="E73" s="43"/>
      <c r="F73" s="44" t="s">
        <v>497</v>
      </c>
      <c r="G73" s="41"/>
      <c r="H73" s="42" t="s">
        <v>562</v>
      </c>
      <c r="I73" s="42" t="s">
        <v>670</v>
      </c>
      <c r="J73" s="45" t="s">
        <v>684</v>
      </c>
      <c r="K73" s="46">
        <v>45391</v>
      </c>
      <c r="L73" s="45" t="s">
        <v>699</v>
      </c>
      <c r="M73" s="42" t="s">
        <v>729</v>
      </c>
      <c r="N73" s="46">
        <v>45397</v>
      </c>
      <c r="O73" s="42" t="s">
        <v>729</v>
      </c>
      <c r="P73" s="42" t="s">
        <v>834</v>
      </c>
      <c r="Q73" s="45"/>
      <c r="R73" s="45"/>
      <c r="S73" s="42"/>
      <c r="T73" s="47"/>
      <c r="U73" s="45"/>
      <c r="V73" s="42" t="s">
        <v>904</v>
      </c>
      <c r="W73" s="42">
        <f t="shared" si="6"/>
        <v>1</v>
      </c>
      <c r="X73" s="42">
        <f t="shared" si="7"/>
        <v>1</v>
      </c>
      <c r="Y73" s="48">
        <f>Data_Base_Normalisation[[#This Row],[Normalisation Total]]-Data_Base_Normalisation[[#This Row],[Normalisation exécutée]]</f>
        <v>0</v>
      </c>
      <c r="Z73" s="42" t="str">
        <f t="shared" si="8"/>
        <v>lundi</v>
      </c>
      <c r="AA73" s="42" t="str">
        <f t="shared" si="9"/>
        <v>15</v>
      </c>
      <c r="AB73" s="42" t="str">
        <f t="shared" si="10"/>
        <v>04</v>
      </c>
      <c r="AC73" s="42" t="str">
        <f t="shared" si="11"/>
        <v>2024</v>
      </c>
    </row>
    <row r="74" spans="1:29" x14ac:dyDescent="0.25">
      <c r="A74" s="41">
        <v>45397</v>
      </c>
      <c r="B74" s="42" t="s">
        <v>114</v>
      </c>
      <c r="C74" s="42" t="s">
        <v>908</v>
      </c>
      <c r="D74" s="42" t="s">
        <v>309</v>
      </c>
      <c r="E74" s="43"/>
      <c r="F74" s="44" t="s">
        <v>497</v>
      </c>
      <c r="G74" s="41"/>
      <c r="H74" s="42" t="s">
        <v>563</v>
      </c>
      <c r="I74" s="42" t="s">
        <v>670</v>
      </c>
      <c r="J74" s="45" t="s">
        <v>684</v>
      </c>
      <c r="K74" s="46">
        <v>45390</v>
      </c>
      <c r="L74" s="45" t="s">
        <v>697</v>
      </c>
      <c r="M74" s="42" t="s">
        <v>15</v>
      </c>
      <c r="N74" s="46">
        <v>45397</v>
      </c>
      <c r="O74" s="42" t="s">
        <v>741</v>
      </c>
      <c r="P74" s="42" t="s">
        <v>835</v>
      </c>
      <c r="Q74" s="45"/>
      <c r="R74" s="45"/>
      <c r="S74" s="42"/>
      <c r="T74" s="47"/>
      <c r="U74" s="45"/>
      <c r="V74" s="42" t="s">
        <v>904</v>
      </c>
      <c r="W74" s="42">
        <f t="shared" si="6"/>
        <v>1</v>
      </c>
      <c r="X74" s="42">
        <f t="shared" si="7"/>
        <v>1</v>
      </c>
      <c r="Y74" s="48">
        <f>Data_Base_Normalisation[[#This Row],[Normalisation Total]]-Data_Base_Normalisation[[#This Row],[Normalisation exécutée]]</f>
        <v>0</v>
      </c>
      <c r="Z74" s="42" t="str">
        <f t="shared" si="8"/>
        <v>lundi</v>
      </c>
      <c r="AA74" s="42" t="str">
        <f t="shared" si="9"/>
        <v>15</v>
      </c>
      <c r="AB74" s="42" t="str">
        <f t="shared" si="10"/>
        <v>04</v>
      </c>
      <c r="AC74" s="42" t="str">
        <f t="shared" si="11"/>
        <v>2024</v>
      </c>
    </row>
    <row r="75" spans="1:29" x14ac:dyDescent="0.25">
      <c r="A75" s="41">
        <v>45397</v>
      </c>
      <c r="B75" s="42" t="s">
        <v>115</v>
      </c>
      <c r="C75" s="42" t="s">
        <v>908</v>
      </c>
      <c r="D75" s="42" t="s">
        <v>310</v>
      </c>
      <c r="E75" s="43"/>
      <c r="F75" s="44" t="s">
        <v>497</v>
      </c>
      <c r="G75" s="41"/>
      <c r="H75" s="42" t="s">
        <v>564</v>
      </c>
      <c r="I75" s="42" t="s">
        <v>670</v>
      </c>
      <c r="J75" s="45" t="s">
        <v>685</v>
      </c>
      <c r="K75" s="46">
        <v>45390</v>
      </c>
      <c r="L75" s="45" t="s">
        <v>708</v>
      </c>
      <c r="M75" s="42" t="s">
        <v>15</v>
      </c>
      <c r="N75" s="46">
        <v>45397</v>
      </c>
      <c r="O75" s="42" t="s">
        <v>741</v>
      </c>
      <c r="P75" s="42" t="s">
        <v>836</v>
      </c>
      <c r="Q75" s="45"/>
      <c r="R75" s="45"/>
      <c r="S75" s="42"/>
      <c r="T75" s="47"/>
      <c r="U75" s="45"/>
      <c r="V75" s="42" t="s">
        <v>904</v>
      </c>
      <c r="W75" s="42">
        <f t="shared" si="6"/>
        <v>1</v>
      </c>
      <c r="X75" s="42">
        <f t="shared" si="7"/>
        <v>1</v>
      </c>
      <c r="Y75" s="48">
        <f>Data_Base_Normalisation[[#This Row],[Normalisation Total]]-Data_Base_Normalisation[[#This Row],[Normalisation exécutée]]</f>
        <v>0</v>
      </c>
      <c r="Z75" s="42" t="str">
        <f t="shared" si="8"/>
        <v>lundi</v>
      </c>
      <c r="AA75" s="42" t="str">
        <f t="shared" si="9"/>
        <v>15</v>
      </c>
      <c r="AB75" s="42" t="str">
        <f t="shared" si="10"/>
        <v>04</v>
      </c>
      <c r="AC75" s="42" t="str">
        <f t="shared" si="11"/>
        <v>2024</v>
      </c>
    </row>
    <row r="76" spans="1:29" x14ac:dyDescent="0.25">
      <c r="A76" s="41">
        <v>45397</v>
      </c>
      <c r="B76" s="42" t="s">
        <v>116</v>
      </c>
      <c r="C76" s="42" t="s">
        <v>9</v>
      </c>
      <c r="D76" s="42" t="s">
        <v>311</v>
      </c>
      <c r="E76" s="43"/>
      <c r="F76" s="44" t="s">
        <v>497</v>
      </c>
      <c r="G76" s="41"/>
      <c r="H76" s="42" t="s">
        <v>565</v>
      </c>
      <c r="I76" s="42" t="s">
        <v>670</v>
      </c>
      <c r="J76" s="45" t="s">
        <v>684</v>
      </c>
      <c r="K76" s="46">
        <v>45390</v>
      </c>
      <c r="L76" s="45" t="s">
        <v>707</v>
      </c>
      <c r="M76" s="42" t="s">
        <v>14</v>
      </c>
      <c r="N76" s="46">
        <v>45397</v>
      </c>
      <c r="O76" s="42" t="s">
        <v>14</v>
      </c>
      <c r="P76" s="42" t="s">
        <v>837</v>
      </c>
      <c r="Q76" s="45"/>
      <c r="R76" s="45"/>
      <c r="S76" s="42"/>
      <c r="T76" s="47"/>
      <c r="U76" s="45"/>
      <c r="V76" s="42" t="s">
        <v>904</v>
      </c>
      <c r="W76" s="42">
        <f t="shared" si="6"/>
        <v>1</v>
      </c>
      <c r="X76" s="42">
        <f t="shared" si="7"/>
        <v>1</v>
      </c>
      <c r="Y76" s="48">
        <f>Data_Base_Normalisation[[#This Row],[Normalisation Total]]-Data_Base_Normalisation[[#This Row],[Normalisation exécutée]]</f>
        <v>0</v>
      </c>
      <c r="Z76" s="42" t="str">
        <f t="shared" si="8"/>
        <v>lundi</v>
      </c>
      <c r="AA76" s="42" t="str">
        <f t="shared" si="9"/>
        <v>15</v>
      </c>
      <c r="AB76" s="42" t="str">
        <f t="shared" si="10"/>
        <v>04</v>
      </c>
      <c r="AC76" s="42" t="str">
        <f t="shared" si="11"/>
        <v>2024</v>
      </c>
    </row>
    <row r="77" spans="1:29" x14ac:dyDescent="0.25">
      <c r="A77" s="41">
        <v>45397</v>
      </c>
      <c r="B77" s="42" t="s">
        <v>117</v>
      </c>
      <c r="C77" s="42" t="s">
        <v>9</v>
      </c>
      <c r="D77" s="42" t="s">
        <v>312</v>
      </c>
      <c r="E77" s="43"/>
      <c r="F77" s="44" t="s">
        <v>497</v>
      </c>
      <c r="G77" s="41"/>
      <c r="H77" s="42" t="s">
        <v>566</v>
      </c>
      <c r="I77" s="42" t="s">
        <v>670</v>
      </c>
      <c r="J77" s="45" t="s">
        <v>685</v>
      </c>
      <c r="K77" s="46">
        <v>45391</v>
      </c>
      <c r="L77" s="45" t="s">
        <v>697</v>
      </c>
      <c r="M77" s="42" t="s">
        <v>15</v>
      </c>
      <c r="N77" s="46">
        <v>45397</v>
      </c>
      <c r="O77" s="42" t="s">
        <v>741</v>
      </c>
      <c r="P77" s="42" t="s">
        <v>838</v>
      </c>
      <c r="Q77" s="45"/>
      <c r="R77" s="45"/>
      <c r="S77" s="42"/>
      <c r="T77" s="47"/>
      <c r="U77" s="45"/>
      <c r="V77" s="42" t="s">
        <v>904</v>
      </c>
      <c r="W77" s="42">
        <f t="shared" si="6"/>
        <v>1</v>
      </c>
      <c r="X77" s="42">
        <f t="shared" si="7"/>
        <v>1</v>
      </c>
      <c r="Y77" s="48">
        <f>Data_Base_Normalisation[[#This Row],[Normalisation Total]]-Data_Base_Normalisation[[#This Row],[Normalisation exécutée]]</f>
        <v>0</v>
      </c>
      <c r="Z77" s="42" t="str">
        <f t="shared" si="8"/>
        <v>lundi</v>
      </c>
      <c r="AA77" s="42" t="str">
        <f t="shared" si="9"/>
        <v>15</v>
      </c>
      <c r="AB77" s="42" t="str">
        <f t="shared" si="10"/>
        <v>04</v>
      </c>
      <c r="AC77" s="42" t="str">
        <f t="shared" si="11"/>
        <v>2024</v>
      </c>
    </row>
    <row r="78" spans="1:29" x14ac:dyDescent="0.25">
      <c r="A78" s="41">
        <v>45397</v>
      </c>
      <c r="B78" s="42" t="s">
        <v>118</v>
      </c>
      <c r="C78" s="42" t="s">
        <v>9</v>
      </c>
      <c r="D78" s="42" t="s">
        <v>313</v>
      </c>
      <c r="E78" s="43"/>
      <c r="F78" s="44" t="s">
        <v>497</v>
      </c>
      <c r="G78" s="41"/>
      <c r="H78" s="42" t="s">
        <v>567</v>
      </c>
      <c r="I78" s="42" t="s">
        <v>670</v>
      </c>
      <c r="J78" s="45" t="s">
        <v>685</v>
      </c>
      <c r="K78" s="46">
        <v>45385</v>
      </c>
      <c r="L78" s="45" t="s">
        <v>704</v>
      </c>
      <c r="M78" s="42" t="s">
        <v>12</v>
      </c>
      <c r="N78" s="46">
        <v>45397</v>
      </c>
      <c r="O78" s="42" t="s">
        <v>747</v>
      </c>
      <c r="P78" s="42" t="s">
        <v>839</v>
      </c>
      <c r="Q78" s="45"/>
      <c r="R78" s="45"/>
      <c r="S78" s="42"/>
      <c r="T78" s="47"/>
      <c r="U78" s="45"/>
      <c r="V78" s="42" t="s">
        <v>905</v>
      </c>
      <c r="W78" s="42">
        <f t="shared" si="6"/>
        <v>1</v>
      </c>
      <c r="X78" s="42">
        <f t="shared" si="7"/>
        <v>1</v>
      </c>
      <c r="Y78" s="48">
        <f>Data_Base_Normalisation[[#This Row],[Normalisation Total]]-Data_Base_Normalisation[[#This Row],[Normalisation exécutée]]</f>
        <v>0</v>
      </c>
      <c r="Z78" s="42" t="str">
        <f t="shared" si="8"/>
        <v>lundi</v>
      </c>
      <c r="AA78" s="42" t="str">
        <f t="shared" si="9"/>
        <v>15</v>
      </c>
      <c r="AB78" s="42" t="str">
        <f t="shared" si="10"/>
        <v>04</v>
      </c>
      <c r="AC78" s="42" t="str">
        <f t="shared" si="11"/>
        <v>2024</v>
      </c>
    </row>
    <row r="79" spans="1:29" x14ac:dyDescent="0.25">
      <c r="A79" s="41">
        <v>45397</v>
      </c>
      <c r="B79" s="42" t="s">
        <v>119</v>
      </c>
      <c r="C79" s="42" t="s">
        <v>9</v>
      </c>
      <c r="D79" s="42" t="s">
        <v>314</v>
      </c>
      <c r="E79" s="43"/>
      <c r="F79" s="44" t="s">
        <v>499</v>
      </c>
      <c r="G79" s="41"/>
      <c r="H79" s="42" t="s">
        <v>568</v>
      </c>
      <c r="I79" s="42" t="s">
        <v>670</v>
      </c>
      <c r="J79" s="45" t="s">
        <v>685</v>
      </c>
      <c r="K79" s="46">
        <v>45411</v>
      </c>
      <c r="L79" s="45" t="s">
        <v>697</v>
      </c>
      <c r="M79" s="42" t="s">
        <v>12</v>
      </c>
      <c r="N79" s="46">
        <v>45397</v>
      </c>
      <c r="O79" s="42" t="s">
        <v>747</v>
      </c>
      <c r="P79" s="42" t="s">
        <v>840</v>
      </c>
      <c r="Q79" s="45"/>
      <c r="R79" s="45"/>
      <c r="S79" s="42"/>
      <c r="T79" s="47"/>
      <c r="U79" s="45"/>
      <c r="V79" s="42" t="s">
        <v>905</v>
      </c>
      <c r="W79" s="42">
        <f t="shared" si="6"/>
        <v>1</v>
      </c>
      <c r="X79" s="42">
        <f t="shared" si="7"/>
        <v>1</v>
      </c>
      <c r="Y79" s="48">
        <f>Data_Base_Normalisation[[#This Row],[Normalisation Total]]-Data_Base_Normalisation[[#This Row],[Normalisation exécutée]]</f>
        <v>0</v>
      </c>
      <c r="Z79" s="42" t="str">
        <f t="shared" si="8"/>
        <v>lundi</v>
      </c>
      <c r="AA79" s="42" t="str">
        <f t="shared" si="9"/>
        <v>15</v>
      </c>
      <c r="AB79" s="42" t="str">
        <f t="shared" si="10"/>
        <v>04</v>
      </c>
      <c r="AC79" s="42" t="str">
        <f t="shared" si="11"/>
        <v>2024</v>
      </c>
    </row>
    <row r="80" spans="1:29" x14ac:dyDescent="0.25">
      <c r="A80" s="41">
        <v>45397</v>
      </c>
      <c r="B80" s="42" t="s">
        <v>120</v>
      </c>
      <c r="C80" s="42" t="s">
        <v>1</v>
      </c>
      <c r="D80" s="42" t="s">
        <v>315</v>
      </c>
      <c r="E80" s="43"/>
      <c r="F80" s="44" t="s">
        <v>497</v>
      </c>
      <c r="G80" s="41"/>
      <c r="H80" s="42"/>
      <c r="I80" s="42" t="s">
        <v>670</v>
      </c>
      <c r="J80" s="45" t="s">
        <v>685</v>
      </c>
      <c r="K80" s="46">
        <v>45414</v>
      </c>
      <c r="L80" s="45" t="s">
        <v>703</v>
      </c>
      <c r="M80" s="42" t="s">
        <v>19</v>
      </c>
      <c r="N80" s="46">
        <v>45397</v>
      </c>
      <c r="O80" s="42" t="s">
        <v>19</v>
      </c>
      <c r="P80" s="42" t="s">
        <v>841</v>
      </c>
      <c r="Q80" s="45"/>
      <c r="R80" s="45"/>
      <c r="S80" s="42"/>
      <c r="T80" s="47"/>
      <c r="U80" s="45"/>
      <c r="V80" s="42" t="s">
        <v>904</v>
      </c>
      <c r="W80" s="42">
        <f t="shared" si="6"/>
        <v>1</v>
      </c>
      <c r="X80" s="42">
        <f t="shared" si="7"/>
        <v>1</v>
      </c>
      <c r="Y80" s="48">
        <f>Data_Base_Normalisation[[#This Row],[Normalisation Total]]-Data_Base_Normalisation[[#This Row],[Normalisation exécutée]]</f>
        <v>0</v>
      </c>
      <c r="Z80" s="42" t="str">
        <f t="shared" si="8"/>
        <v>lundi</v>
      </c>
      <c r="AA80" s="42" t="str">
        <f t="shared" si="9"/>
        <v>15</v>
      </c>
      <c r="AB80" s="42" t="str">
        <f t="shared" si="10"/>
        <v>04</v>
      </c>
      <c r="AC80" s="42" t="str">
        <f t="shared" si="11"/>
        <v>2024</v>
      </c>
    </row>
    <row r="81" spans="1:29" x14ac:dyDescent="0.25">
      <c r="A81" s="41">
        <v>45397</v>
      </c>
      <c r="B81" s="42" t="s">
        <v>121</v>
      </c>
      <c r="C81" s="42" t="s">
        <v>1</v>
      </c>
      <c r="D81" s="42" t="s">
        <v>316</v>
      </c>
      <c r="E81" s="43"/>
      <c r="F81" s="44" t="s">
        <v>499</v>
      </c>
      <c r="G81" s="41"/>
      <c r="H81" s="42"/>
      <c r="I81" s="42" t="s">
        <v>670</v>
      </c>
      <c r="J81" s="45" t="s">
        <v>685</v>
      </c>
      <c r="K81" s="46">
        <v>45391</v>
      </c>
      <c r="L81" s="45" t="s">
        <v>703</v>
      </c>
      <c r="M81" s="42" t="s">
        <v>19</v>
      </c>
      <c r="N81" s="46">
        <v>45397</v>
      </c>
      <c r="O81" s="42" t="s">
        <v>19</v>
      </c>
      <c r="P81" s="42" t="s">
        <v>842</v>
      </c>
      <c r="Q81" s="45"/>
      <c r="R81" s="45"/>
      <c r="S81" s="42"/>
      <c r="T81" s="47"/>
      <c r="U81" s="45"/>
      <c r="V81" s="42" t="s">
        <v>905</v>
      </c>
      <c r="W81" s="42">
        <f t="shared" si="6"/>
        <v>1</v>
      </c>
      <c r="X81" s="42">
        <f t="shared" si="7"/>
        <v>1</v>
      </c>
      <c r="Y81" s="48">
        <f>Data_Base_Normalisation[[#This Row],[Normalisation Total]]-Data_Base_Normalisation[[#This Row],[Normalisation exécutée]]</f>
        <v>0</v>
      </c>
      <c r="Z81" s="42" t="str">
        <f t="shared" si="8"/>
        <v>lundi</v>
      </c>
      <c r="AA81" s="42" t="str">
        <f t="shared" si="9"/>
        <v>15</v>
      </c>
      <c r="AB81" s="42" t="str">
        <f t="shared" si="10"/>
        <v>04</v>
      </c>
      <c r="AC81" s="42" t="str">
        <f t="shared" si="11"/>
        <v>2024</v>
      </c>
    </row>
    <row r="82" spans="1:29" x14ac:dyDescent="0.25">
      <c r="A82" s="41">
        <v>45397</v>
      </c>
      <c r="B82" s="42" t="s">
        <v>122</v>
      </c>
      <c r="C82" s="42" t="s">
        <v>9</v>
      </c>
      <c r="D82" s="42" t="s">
        <v>317</v>
      </c>
      <c r="E82" s="43"/>
      <c r="F82" s="44" t="s">
        <v>498</v>
      </c>
      <c r="G82" s="41"/>
      <c r="H82" s="42" t="s">
        <v>569</v>
      </c>
      <c r="I82" s="42" t="s">
        <v>670</v>
      </c>
      <c r="J82" s="45" t="s">
        <v>685</v>
      </c>
      <c r="K82" s="46">
        <v>45391</v>
      </c>
      <c r="L82" s="45"/>
      <c r="M82" s="42" t="s">
        <v>731</v>
      </c>
      <c r="N82" s="46">
        <v>45399</v>
      </c>
      <c r="O82" s="42" t="s">
        <v>758</v>
      </c>
      <c r="P82" s="42" t="s">
        <v>275</v>
      </c>
      <c r="Q82" s="45"/>
      <c r="R82" s="45"/>
      <c r="S82" s="42"/>
      <c r="T82" s="47"/>
      <c r="U82" s="45"/>
      <c r="V82" s="42" t="s">
        <v>905</v>
      </c>
      <c r="W82" s="42">
        <f t="shared" si="6"/>
        <v>1</v>
      </c>
      <c r="X82" s="42">
        <f t="shared" si="7"/>
        <v>1</v>
      </c>
      <c r="Y82" s="48">
        <f>Data_Base_Normalisation[[#This Row],[Normalisation Total]]-Data_Base_Normalisation[[#This Row],[Normalisation exécutée]]</f>
        <v>0</v>
      </c>
      <c r="Z82" s="42" t="str">
        <f t="shared" si="8"/>
        <v>lundi</v>
      </c>
      <c r="AA82" s="42" t="str">
        <f t="shared" si="9"/>
        <v>15</v>
      </c>
      <c r="AB82" s="42" t="str">
        <f t="shared" si="10"/>
        <v>04</v>
      </c>
      <c r="AC82" s="42" t="str">
        <f t="shared" si="11"/>
        <v>2024</v>
      </c>
    </row>
    <row r="83" spans="1:29" x14ac:dyDescent="0.25">
      <c r="A83" s="41">
        <v>45397</v>
      </c>
      <c r="B83" s="42" t="s">
        <v>123</v>
      </c>
      <c r="C83" s="42" t="s">
        <v>9</v>
      </c>
      <c r="D83" s="42" t="s">
        <v>275</v>
      </c>
      <c r="E83" s="43"/>
      <c r="F83" s="44" t="s">
        <v>497</v>
      </c>
      <c r="G83" s="41"/>
      <c r="H83" s="42" t="s">
        <v>536</v>
      </c>
      <c r="I83" s="42" t="s">
        <v>670</v>
      </c>
      <c r="J83" s="45" t="s">
        <v>685</v>
      </c>
      <c r="K83" s="46">
        <v>45391</v>
      </c>
      <c r="L83" s="45"/>
      <c r="M83" s="42" t="s">
        <v>731</v>
      </c>
      <c r="N83" s="46">
        <v>45399</v>
      </c>
      <c r="O83" s="42" t="s">
        <v>758</v>
      </c>
      <c r="P83" s="42" t="s">
        <v>275</v>
      </c>
      <c r="Q83" s="45"/>
      <c r="R83" s="45"/>
      <c r="S83" s="42"/>
      <c r="T83" s="47"/>
      <c r="U83" s="45"/>
      <c r="V83" s="42" t="s">
        <v>905</v>
      </c>
      <c r="W83" s="42">
        <f t="shared" si="6"/>
        <v>1</v>
      </c>
      <c r="X83" s="42">
        <f t="shared" si="7"/>
        <v>1</v>
      </c>
      <c r="Y83" s="48">
        <f>Data_Base_Normalisation[[#This Row],[Normalisation Total]]-Data_Base_Normalisation[[#This Row],[Normalisation exécutée]]</f>
        <v>0</v>
      </c>
      <c r="Z83" s="42" t="str">
        <f t="shared" si="8"/>
        <v>lundi</v>
      </c>
      <c r="AA83" s="42" t="str">
        <f t="shared" si="9"/>
        <v>15</v>
      </c>
      <c r="AB83" s="42" t="str">
        <f t="shared" si="10"/>
        <v>04</v>
      </c>
      <c r="AC83" s="42" t="str">
        <f t="shared" si="11"/>
        <v>2024</v>
      </c>
    </row>
    <row r="84" spans="1:29" x14ac:dyDescent="0.25">
      <c r="A84" s="41">
        <v>45397</v>
      </c>
      <c r="B84" s="42" t="s">
        <v>124</v>
      </c>
      <c r="C84" s="42" t="s">
        <v>9</v>
      </c>
      <c r="D84" s="42" t="s">
        <v>318</v>
      </c>
      <c r="E84" s="43"/>
      <c r="F84" s="44" t="s">
        <v>497</v>
      </c>
      <c r="G84" s="41"/>
      <c r="H84" s="42" t="s">
        <v>538</v>
      </c>
      <c r="I84" s="42" t="s">
        <v>670</v>
      </c>
      <c r="J84" s="45"/>
      <c r="K84" s="46"/>
      <c r="L84" s="45"/>
      <c r="M84" s="42"/>
      <c r="N84" s="46">
        <v>45399</v>
      </c>
      <c r="O84" s="42"/>
      <c r="P84" s="42"/>
      <c r="Q84" s="45"/>
      <c r="R84" s="45"/>
      <c r="S84" s="42"/>
      <c r="T84" s="47"/>
      <c r="U84" s="45"/>
      <c r="V84" s="42" t="s">
        <v>906</v>
      </c>
      <c r="W84" s="42">
        <f t="shared" si="6"/>
        <v>1</v>
      </c>
      <c r="X84" s="42">
        <f t="shared" si="7"/>
        <v>0</v>
      </c>
      <c r="Y84" s="48">
        <f>Data_Base_Normalisation[[#This Row],[Normalisation Total]]-Data_Base_Normalisation[[#This Row],[Normalisation exécutée]]</f>
        <v>1</v>
      </c>
      <c r="Z84" s="42" t="str">
        <f t="shared" si="8"/>
        <v>lundi</v>
      </c>
      <c r="AA84" s="42" t="str">
        <f t="shared" si="9"/>
        <v>15</v>
      </c>
      <c r="AB84" s="42" t="str">
        <f t="shared" si="10"/>
        <v>04</v>
      </c>
      <c r="AC84" s="42" t="str">
        <f t="shared" si="11"/>
        <v>2024</v>
      </c>
    </row>
    <row r="85" spans="1:29" x14ac:dyDescent="0.25">
      <c r="A85" s="41">
        <v>45397</v>
      </c>
      <c r="B85" s="42" t="s">
        <v>125</v>
      </c>
      <c r="C85" s="42" t="s">
        <v>9</v>
      </c>
      <c r="D85" s="42" t="s">
        <v>319</v>
      </c>
      <c r="E85" s="43"/>
      <c r="F85" s="44" t="s">
        <v>497</v>
      </c>
      <c r="G85" s="41"/>
      <c r="H85" s="42" t="s">
        <v>570</v>
      </c>
      <c r="I85" s="42" t="s">
        <v>666</v>
      </c>
      <c r="J85" s="45" t="s">
        <v>685</v>
      </c>
      <c r="K85" s="46"/>
      <c r="L85" s="45"/>
      <c r="M85" s="42" t="s">
        <v>722</v>
      </c>
      <c r="N85" s="46" t="s">
        <v>17</v>
      </c>
      <c r="O85" s="42" t="s">
        <v>759</v>
      </c>
      <c r="P85" s="42" t="s">
        <v>843</v>
      </c>
      <c r="Q85" s="45">
        <v>0</v>
      </c>
      <c r="R85" s="45">
        <v>0</v>
      </c>
      <c r="S85" s="42">
        <v>10</v>
      </c>
      <c r="T85" s="47"/>
      <c r="U85" s="45">
        <v>1</v>
      </c>
      <c r="V85" s="42" t="s">
        <v>905</v>
      </c>
      <c r="W85" s="42">
        <f t="shared" si="6"/>
        <v>1</v>
      </c>
      <c r="X85" s="42">
        <f t="shared" si="7"/>
        <v>1</v>
      </c>
      <c r="Y85" s="48">
        <f>Data_Base_Normalisation[[#This Row],[Normalisation Total]]-Data_Base_Normalisation[[#This Row],[Normalisation exécutée]]</f>
        <v>0</v>
      </c>
      <c r="Z85" s="42" t="str">
        <f t="shared" si="8"/>
        <v>lundi</v>
      </c>
      <c r="AA85" s="42" t="str">
        <f t="shared" si="9"/>
        <v>15</v>
      </c>
      <c r="AB85" s="42" t="str">
        <f t="shared" si="10"/>
        <v>04</v>
      </c>
      <c r="AC85" s="42" t="str">
        <f t="shared" si="11"/>
        <v>2024</v>
      </c>
    </row>
    <row r="86" spans="1:29" x14ac:dyDescent="0.25">
      <c r="A86" s="41">
        <v>45398</v>
      </c>
      <c r="B86" s="42" t="s">
        <v>126</v>
      </c>
      <c r="C86" s="42" t="s">
        <v>908</v>
      </c>
      <c r="D86" s="42" t="s">
        <v>320</v>
      </c>
      <c r="E86" s="43"/>
      <c r="F86" s="44" t="s">
        <v>499</v>
      </c>
      <c r="G86" s="41"/>
      <c r="H86" s="42" t="s">
        <v>571</v>
      </c>
      <c r="I86" s="42" t="s">
        <v>670</v>
      </c>
      <c r="J86" s="45" t="s">
        <v>685</v>
      </c>
      <c r="K86" s="46"/>
      <c r="L86" s="45" t="s">
        <v>699</v>
      </c>
      <c r="M86" s="42" t="s">
        <v>729</v>
      </c>
      <c r="N86" s="46" t="s">
        <v>774</v>
      </c>
      <c r="O86" s="42" t="s">
        <v>742</v>
      </c>
      <c r="P86" s="42" t="s">
        <v>844</v>
      </c>
      <c r="Q86" s="45"/>
      <c r="R86" s="45"/>
      <c r="S86" s="42"/>
      <c r="T86" s="47"/>
      <c r="U86" s="45"/>
      <c r="V86" s="42" t="s">
        <v>905</v>
      </c>
      <c r="W86" s="42">
        <f t="shared" si="6"/>
        <v>1</v>
      </c>
      <c r="X86" s="42">
        <f t="shared" si="7"/>
        <v>1</v>
      </c>
      <c r="Y86" s="48">
        <f>Data_Base_Normalisation[[#This Row],[Normalisation Total]]-Data_Base_Normalisation[[#This Row],[Normalisation exécutée]]</f>
        <v>0</v>
      </c>
      <c r="Z86" s="42" t="str">
        <f t="shared" si="8"/>
        <v>mardi</v>
      </c>
      <c r="AA86" s="42" t="str">
        <f t="shared" si="9"/>
        <v>16</v>
      </c>
      <c r="AB86" s="42" t="str">
        <f t="shared" si="10"/>
        <v>04</v>
      </c>
      <c r="AC86" s="42" t="str">
        <f t="shared" si="11"/>
        <v>2024</v>
      </c>
    </row>
    <row r="87" spans="1:29" x14ac:dyDescent="0.25">
      <c r="A87" s="41">
        <v>45398</v>
      </c>
      <c r="B87" s="42" t="s">
        <v>127</v>
      </c>
      <c r="C87" s="42" t="s">
        <v>1</v>
      </c>
      <c r="D87" s="42" t="s">
        <v>321</v>
      </c>
      <c r="E87" s="43"/>
      <c r="F87" s="44" t="s">
        <v>497</v>
      </c>
      <c r="G87" s="41"/>
      <c r="H87" s="42" t="s">
        <v>572</v>
      </c>
      <c r="I87" s="42" t="s">
        <v>670</v>
      </c>
      <c r="J87" s="45" t="s">
        <v>685</v>
      </c>
      <c r="K87" s="46">
        <v>45420</v>
      </c>
      <c r="L87" s="45" t="s">
        <v>699</v>
      </c>
      <c r="M87" s="42" t="s">
        <v>729</v>
      </c>
      <c r="N87" s="46" t="s">
        <v>774</v>
      </c>
      <c r="O87" s="42" t="s">
        <v>742</v>
      </c>
      <c r="P87" s="42" t="s">
        <v>845</v>
      </c>
      <c r="Q87" s="45"/>
      <c r="R87" s="45"/>
      <c r="S87" s="42"/>
      <c r="T87" s="47"/>
      <c r="U87" s="45"/>
      <c r="V87" s="42" t="s">
        <v>904</v>
      </c>
      <c r="W87" s="42">
        <f t="shared" si="6"/>
        <v>1</v>
      </c>
      <c r="X87" s="42">
        <f t="shared" si="7"/>
        <v>1</v>
      </c>
      <c r="Y87" s="48">
        <f>Data_Base_Normalisation[[#This Row],[Normalisation Total]]-Data_Base_Normalisation[[#This Row],[Normalisation exécutée]]</f>
        <v>0</v>
      </c>
      <c r="Z87" s="42" t="str">
        <f t="shared" si="8"/>
        <v>mardi</v>
      </c>
      <c r="AA87" s="42" t="str">
        <f t="shared" si="9"/>
        <v>16</v>
      </c>
      <c r="AB87" s="42" t="str">
        <f t="shared" si="10"/>
        <v>04</v>
      </c>
      <c r="AC87" s="42" t="str">
        <f t="shared" si="11"/>
        <v>2024</v>
      </c>
    </row>
    <row r="88" spans="1:29" x14ac:dyDescent="0.25">
      <c r="A88" s="41">
        <v>45398</v>
      </c>
      <c r="B88" s="42" t="s">
        <v>128</v>
      </c>
      <c r="C88" s="42" t="s">
        <v>908</v>
      </c>
      <c r="D88" s="42" t="s">
        <v>322</v>
      </c>
      <c r="E88" s="43"/>
      <c r="F88" s="44" t="s">
        <v>499</v>
      </c>
      <c r="G88" s="41"/>
      <c r="H88" s="42"/>
      <c r="I88" s="42" t="s">
        <v>670</v>
      </c>
      <c r="J88" s="45" t="s">
        <v>685</v>
      </c>
      <c r="K88" s="46"/>
      <c r="L88" s="45"/>
      <c r="M88" s="42" t="s">
        <v>719</v>
      </c>
      <c r="N88" s="46" t="s">
        <v>774</v>
      </c>
      <c r="O88" s="42" t="s">
        <v>745</v>
      </c>
      <c r="P88" s="42" t="s">
        <v>846</v>
      </c>
      <c r="Q88" s="45"/>
      <c r="R88" s="45"/>
      <c r="S88" s="42"/>
      <c r="T88" s="47"/>
      <c r="U88" s="45"/>
      <c r="V88" s="42" t="s">
        <v>904</v>
      </c>
      <c r="W88" s="42">
        <f t="shared" si="6"/>
        <v>1</v>
      </c>
      <c r="X88" s="42">
        <f t="shared" si="7"/>
        <v>1</v>
      </c>
      <c r="Y88" s="48">
        <f>Data_Base_Normalisation[[#This Row],[Normalisation Total]]-Data_Base_Normalisation[[#This Row],[Normalisation exécutée]]</f>
        <v>0</v>
      </c>
      <c r="Z88" s="42" t="str">
        <f t="shared" si="8"/>
        <v>mardi</v>
      </c>
      <c r="AA88" s="42" t="str">
        <f t="shared" si="9"/>
        <v>16</v>
      </c>
      <c r="AB88" s="42" t="str">
        <f t="shared" si="10"/>
        <v>04</v>
      </c>
      <c r="AC88" s="42" t="str">
        <f t="shared" si="11"/>
        <v>2024</v>
      </c>
    </row>
    <row r="89" spans="1:29" x14ac:dyDescent="0.25">
      <c r="A89" s="41">
        <v>45398</v>
      </c>
      <c r="B89" s="42" t="s">
        <v>129</v>
      </c>
      <c r="C89" s="42" t="s">
        <v>908</v>
      </c>
      <c r="D89" s="42" t="s">
        <v>323</v>
      </c>
      <c r="E89" s="43"/>
      <c r="F89" s="44" t="s">
        <v>499</v>
      </c>
      <c r="G89" s="41"/>
      <c r="H89" s="42" t="s">
        <v>573</v>
      </c>
      <c r="I89" s="42" t="s">
        <v>670</v>
      </c>
      <c r="J89" s="45" t="s">
        <v>685</v>
      </c>
      <c r="K89" s="46">
        <v>45418</v>
      </c>
      <c r="L89" s="45"/>
      <c r="M89" s="42" t="s">
        <v>732</v>
      </c>
      <c r="N89" s="46" t="s">
        <v>774</v>
      </c>
      <c r="O89" s="42" t="s">
        <v>755</v>
      </c>
      <c r="P89" s="42" t="s">
        <v>847</v>
      </c>
      <c r="Q89" s="45"/>
      <c r="R89" s="45"/>
      <c r="S89" s="42"/>
      <c r="T89" s="47"/>
      <c r="U89" s="45"/>
      <c r="V89" s="42" t="s">
        <v>905</v>
      </c>
      <c r="W89" s="42">
        <f t="shared" si="6"/>
        <v>1</v>
      </c>
      <c r="X89" s="42">
        <f t="shared" si="7"/>
        <v>1</v>
      </c>
      <c r="Y89" s="48">
        <f>Data_Base_Normalisation[[#This Row],[Normalisation Total]]-Data_Base_Normalisation[[#This Row],[Normalisation exécutée]]</f>
        <v>0</v>
      </c>
      <c r="Z89" s="42" t="str">
        <f t="shared" si="8"/>
        <v>mardi</v>
      </c>
      <c r="AA89" s="42" t="str">
        <f t="shared" si="9"/>
        <v>16</v>
      </c>
      <c r="AB89" s="42" t="str">
        <f t="shared" si="10"/>
        <v>04</v>
      </c>
      <c r="AC89" s="42" t="str">
        <f t="shared" si="11"/>
        <v>2024</v>
      </c>
    </row>
    <row r="90" spans="1:29" x14ac:dyDescent="0.25">
      <c r="A90" s="41">
        <v>45398</v>
      </c>
      <c r="B90" s="42" t="s">
        <v>130</v>
      </c>
      <c r="C90" s="42" t="s">
        <v>1</v>
      </c>
      <c r="D90" s="42" t="s">
        <v>324</v>
      </c>
      <c r="E90" s="43"/>
      <c r="F90" s="44" t="s">
        <v>502</v>
      </c>
      <c r="G90" s="41"/>
      <c r="H90" s="42" t="s">
        <v>574</v>
      </c>
      <c r="I90" s="42" t="s">
        <v>670</v>
      </c>
      <c r="J90" s="45" t="s">
        <v>685</v>
      </c>
      <c r="K90" s="46">
        <v>45418</v>
      </c>
      <c r="L90" s="45"/>
      <c r="M90" s="42" t="s">
        <v>726</v>
      </c>
      <c r="N90" s="46" t="s">
        <v>774</v>
      </c>
      <c r="O90" s="42" t="s">
        <v>756</v>
      </c>
      <c r="P90" s="42" t="s">
        <v>848</v>
      </c>
      <c r="Q90" s="45"/>
      <c r="R90" s="45"/>
      <c r="S90" s="42"/>
      <c r="T90" s="47"/>
      <c r="U90" s="45"/>
      <c r="V90" s="42" t="s">
        <v>904</v>
      </c>
      <c r="W90" s="42">
        <f t="shared" si="6"/>
        <v>1</v>
      </c>
      <c r="X90" s="42">
        <f t="shared" si="7"/>
        <v>1</v>
      </c>
      <c r="Y90" s="48">
        <f>Data_Base_Normalisation[[#This Row],[Normalisation Total]]-Data_Base_Normalisation[[#This Row],[Normalisation exécutée]]</f>
        <v>0</v>
      </c>
      <c r="Z90" s="42" t="str">
        <f t="shared" si="8"/>
        <v>mardi</v>
      </c>
      <c r="AA90" s="42" t="str">
        <f t="shared" si="9"/>
        <v>16</v>
      </c>
      <c r="AB90" s="42" t="str">
        <f t="shared" si="10"/>
        <v>04</v>
      </c>
      <c r="AC90" s="42" t="str">
        <f t="shared" si="11"/>
        <v>2024</v>
      </c>
    </row>
    <row r="91" spans="1:29" x14ac:dyDescent="0.25">
      <c r="A91" s="41">
        <v>45398</v>
      </c>
      <c r="B91" s="42" t="s">
        <v>131</v>
      </c>
      <c r="C91" s="42" t="s">
        <v>9</v>
      </c>
      <c r="D91" s="42" t="s">
        <v>283</v>
      </c>
      <c r="E91" s="43"/>
      <c r="F91" s="44" t="s">
        <v>499</v>
      </c>
      <c r="G91" s="41"/>
      <c r="H91" s="42" t="s">
        <v>575</v>
      </c>
      <c r="I91" s="42" t="s">
        <v>670</v>
      </c>
      <c r="J91" s="45" t="s">
        <v>685</v>
      </c>
      <c r="K91" s="46">
        <v>45418</v>
      </c>
      <c r="L91" s="45"/>
      <c r="M91" s="42" t="s">
        <v>728</v>
      </c>
      <c r="N91" s="46" t="s">
        <v>774</v>
      </c>
      <c r="O91" s="42" t="s">
        <v>756</v>
      </c>
      <c r="P91" s="42" t="s">
        <v>849</v>
      </c>
      <c r="Q91" s="45"/>
      <c r="R91" s="45"/>
      <c r="S91" s="42"/>
      <c r="T91" s="47"/>
      <c r="U91" s="45"/>
      <c r="V91" s="42" t="s">
        <v>905</v>
      </c>
      <c r="W91" s="42">
        <f t="shared" si="6"/>
        <v>1</v>
      </c>
      <c r="X91" s="42">
        <f t="shared" si="7"/>
        <v>1</v>
      </c>
      <c r="Y91" s="48">
        <f>Data_Base_Normalisation[[#This Row],[Normalisation Total]]-Data_Base_Normalisation[[#This Row],[Normalisation exécutée]]</f>
        <v>0</v>
      </c>
      <c r="Z91" s="42" t="str">
        <f t="shared" si="8"/>
        <v>mardi</v>
      </c>
      <c r="AA91" s="42" t="str">
        <f t="shared" si="9"/>
        <v>16</v>
      </c>
      <c r="AB91" s="42" t="str">
        <f t="shared" si="10"/>
        <v>04</v>
      </c>
      <c r="AC91" s="42" t="str">
        <f t="shared" si="11"/>
        <v>2024</v>
      </c>
    </row>
    <row r="92" spans="1:29" x14ac:dyDescent="0.25">
      <c r="A92" s="41">
        <v>45398</v>
      </c>
      <c r="B92" s="42" t="s">
        <v>132</v>
      </c>
      <c r="C92" s="42" t="s">
        <v>9</v>
      </c>
      <c r="D92" s="42" t="s">
        <v>325</v>
      </c>
      <c r="E92" s="43"/>
      <c r="F92" s="44" t="s">
        <v>497</v>
      </c>
      <c r="G92" s="41"/>
      <c r="H92" s="42" t="s">
        <v>576</v>
      </c>
      <c r="I92" s="42" t="s">
        <v>670</v>
      </c>
      <c r="J92" s="45" t="s">
        <v>685</v>
      </c>
      <c r="K92" s="46"/>
      <c r="L92" s="45"/>
      <c r="M92" s="42" t="s">
        <v>726</v>
      </c>
      <c r="N92" s="46" t="s">
        <v>774</v>
      </c>
      <c r="O92" s="42" t="s">
        <v>756</v>
      </c>
      <c r="P92" s="42" t="s">
        <v>850</v>
      </c>
      <c r="Q92" s="45"/>
      <c r="R92" s="45"/>
      <c r="S92" s="42"/>
      <c r="T92" s="47"/>
      <c r="U92" s="45"/>
      <c r="V92" s="42" t="s">
        <v>904</v>
      </c>
      <c r="W92" s="42">
        <f t="shared" si="6"/>
        <v>1</v>
      </c>
      <c r="X92" s="42">
        <f t="shared" si="7"/>
        <v>1</v>
      </c>
      <c r="Y92" s="48">
        <f>Data_Base_Normalisation[[#This Row],[Normalisation Total]]-Data_Base_Normalisation[[#This Row],[Normalisation exécutée]]</f>
        <v>0</v>
      </c>
      <c r="Z92" s="42" t="str">
        <f t="shared" si="8"/>
        <v>mardi</v>
      </c>
      <c r="AA92" s="42" t="str">
        <f t="shared" si="9"/>
        <v>16</v>
      </c>
      <c r="AB92" s="42" t="str">
        <f t="shared" si="10"/>
        <v>04</v>
      </c>
      <c r="AC92" s="42" t="str">
        <f t="shared" si="11"/>
        <v>2024</v>
      </c>
    </row>
    <row r="93" spans="1:29" x14ac:dyDescent="0.25">
      <c r="A93" s="41">
        <v>45398</v>
      </c>
      <c r="B93" s="42" t="s">
        <v>133</v>
      </c>
      <c r="C93" s="42" t="s">
        <v>1</v>
      </c>
      <c r="D93" s="42" t="s">
        <v>326</v>
      </c>
      <c r="E93" s="43"/>
      <c r="F93" s="44" t="s">
        <v>497</v>
      </c>
      <c r="G93" s="41"/>
      <c r="H93" s="42" t="s">
        <v>577</v>
      </c>
      <c r="I93" s="42" t="s">
        <v>670</v>
      </c>
      <c r="J93" s="45" t="s">
        <v>685</v>
      </c>
      <c r="K93" s="46"/>
      <c r="L93" s="45"/>
      <c r="M93" s="42" t="s">
        <v>719</v>
      </c>
      <c r="N93" s="46" t="s">
        <v>774</v>
      </c>
      <c r="O93" s="42" t="s">
        <v>745</v>
      </c>
      <c r="P93" s="42" t="s">
        <v>851</v>
      </c>
      <c r="Q93" s="45"/>
      <c r="R93" s="45"/>
      <c r="S93" s="42"/>
      <c r="T93" s="47"/>
      <c r="U93" s="45"/>
      <c r="V93" s="42" t="s">
        <v>905</v>
      </c>
      <c r="W93" s="42">
        <f t="shared" si="6"/>
        <v>1</v>
      </c>
      <c r="X93" s="42">
        <f t="shared" si="7"/>
        <v>1</v>
      </c>
      <c r="Y93" s="48">
        <f>Data_Base_Normalisation[[#This Row],[Normalisation Total]]-Data_Base_Normalisation[[#This Row],[Normalisation exécutée]]</f>
        <v>0</v>
      </c>
      <c r="Z93" s="42" t="str">
        <f t="shared" si="8"/>
        <v>mardi</v>
      </c>
      <c r="AA93" s="42" t="str">
        <f t="shared" si="9"/>
        <v>16</v>
      </c>
      <c r="AB93" s="42" t="str">
        <f t="shared" si="10"/>
        <v>04</v>
      </c>
      <c r="AC93" s="42" t="str">
        <f t="shared" si="11"/>
        <v>2024</v>
      </c>
    </row>
    <row r="94" spans="1:29" x14ac:dyDescent="0.25">
      <c r="A94" s="41">
        <v>45398</v>
      </c>
      <c r="B94" s="42" t="s">
        <v>134</v>
      </c>
      <c r="C94" s="42" t="s">
        <v>1</v>
      </c>
      <c r="D94" s="42" t="s">
        <v>327</v>
      </c>
      <c r="E94" s="43"/>
      <c r="F94" s="44" t="s">
        <v>497</v>
      </c>
      <c r="G94" s="41"/>
      <c r="H94" s="42" t="s">
        <v>578</v>
      </c>
      <c r="I94" s="42" t="s">
        <v>670</v>
      </c>
      <c r="J94" s="45" t="s">
        <v>685</v>
      </c>
      <c r="K94" s="46"/>
      <c r="L94" s="45"/>
      <c r="M94" s="42" t="s">
        <v>19</v>
      </c>
      <c r="N94" s="46" t="s">
        <v>774</v>
      </c>
      <c r="O94" s="42" t="s">
        <v>19</v>
      </c>
      <c r="P94" s="42" t="s">
        <v>852</v>
      </c>
      <c r="Q94" s="45"/>
      <c r="R94" s="45"/>
      <c r="S94" s="42"/>
      <c r="T94" s="47"/>
      <c r="U94" s="45"/>
      <c r="V94" s="42" t="s">
        <v>904</v>
      </c>
      <c r="W94" s="42">
        <f t="shared" si="6"/>
        <v>1</v>
      </c>
      <c r="X94" s="42">
        <f t="shared" si="7"/>
        <v>1</v>
      </c>
      <c r="Y94" s="48">
        <f>Data_Base_Normalisation[[#This Row],[Normalisation Total]]-Data_Base_Normalisation[[#This Row],[Normalisation exécutée]]</f>
        <v>0</v>
      </c>
      <c r="Z94" s="42" t="str">
        <f t="shared" si="8"/>
        <v>mardi</v>
      </c>
      <c r="AA94" s="42" t="str">
        <f t="shared" si="9"/>
        <v>16</v>
      </c>
      <c r="AB94" s="42" t="str">
        <f t="shared" si="10"/>
        <v>04</v>
      </c>
      <c r="AC94" s="42" t="str">
        <f t="shared" si="11"/>
        <v>2024</v>
      </c>
    </row>
    <row r="95" spans="1:29" x14ac:dyDescent="0.25">
      <c r="A95" s="41">
        <v>45399</v>
      </c>
      <c r="B95" s="42" t="s">
        <v>135</v>
      </c>
      <c r="C95" s="42" t="s">
        <v>908</v>
      </c>
      <c r="D95" s="42" t="s">
        <v>328</v>
      </c>
      <c r="E95" s="43"/>
      <c r="F95" s="44" t="s">
        <v>497</v>
      </c>
      <c r="G95" s="41"/>
      <c r="H95" s="42" t="s">
        <v>579</v>
      </c>
      <c r="I95" s="42" t="s">
        <v>670</v>
      </c>
      <c r="J95" s="45" t="s">
        <v>685</v>
      </c>
      <c r="K95" s="46"/>
      <c r="L95" s="45"/>
      <c r="M95" s="42" t="s">
        <v>733</v>
      </c>
      <c r="N95" s="46" t="s">
        <v>774</v>
      </c>
      <c r="O95" s="42" t="s">
        <v>733</v>
      </c>
      <c r="P95" s="42" t="s">
        <v>851</v>
      </c>
      <c r="Q95" s="45"/>
      <c r="R95" s="45"/>
      <c r="S95" s="42"/>
      <c r="T95" s="47"/>
      <c r="U95" s="45"/>
      <c r="V95" s="42" t="s">
        <v>905</v>
      </c>
      <c r="W95" s="42">
        <f t="shared" si="6"/>
        <v>1</v>
      </c>
      <c r="X95" s="42">
        <f t="shared" si="7"/>
        <v>1</v>
      </c>
      <c r="Y95" s="48">
        <f>Data_Base_Normalisation[[#This Row],[Normalisation Total]]-Data_Base_Normalisation[[#This Row],[Normalisation exécutée]]</f>
        <v>0</v>
      </c>
      <c r="Z95" s="42" t="str">
        <f t="shared" si="8"/>
        <v>mercredi</v>
      </c>
      <c r="AA95" s="42" t="str">
        <f t="shared" si="9"/>
        <v>17</v>
      </c>
      <c r="AB95" s="42" t="str">
        <f t="shared" si="10"/>
        <v>04</v>
      </c>
      <c r="AC95" s="42" t="str">
        <f t="shared" si="11"/>
        <v>2024</v>
      </c>
    </row>
    <row r="96" spans="1:29" x14ac:dyDescent="0.25">
      <c r="A96" s="41">
        <v>45399</v>
      </c>
      <c r="B96" s="42" t="s">
        <v>136</v>
      </c>
      <c r="C96" s="42" t="s">
        <v>908</v>
      </c>
      <c r="D96" s="42" t="s">
        <v>329</v>
      </c>
      <c r="E96" s="43"/>
      <c r="F96" s="44" t="s">
        <v>497</v>
      </c>
      <c r="G96" s="41"/>
      <c r="H96" s="42" t="s">
        <v>559</v>
      </c>
      <c r="I96" s="42" t="s">
        <v>670</v>
      </c>
      <c r="J96" s="45" t="s">
        <v>685</v>
      </c>
      <c r="K96" s="46"/>
      <c r="L96" s="45"/>
      <c r="M96" s="42" t="s">
        <v>19</v>
      </c>
      <c r="N96" s="46" t="s">
        <v>773</v>
      </c>
      <c r="O96" s="42" t="s">
        <v>19</v>
      </c>
      <c r="P96" s="42" t="s">
        <v>853</v>
      </c>
      <c r="Q96" s="45"/>
      <c r="R96" s="45"/>
      <c r="S96" s="42"/>
      <c r="T96" s="47"/>
      <c r="U96" s="45"/>
      <c r="V96" s="42" t="s">
        <v>905</v>
      </c>
      <c r="W96" s="42">
        <f t="shared" si="6"/>
        <v>1</v>
      </c>
      <c r="X96" s="42">
        <f t="shared" si="7"/>
        <v>1</v>
      </c>
      <c r="Y96" s="48">
        <f>Data_Base_Normalisation[[#This Row],[Normalisation Total]]-Data_Base_Normalisation[[#This Row],[Normalisation exécutée]]</f>
        <v>0</v>
      </c>
      <c r="Z96" s="42" t="str">
        <f t="shared" si="8"/>
        <v>mercredi</v>
      </c>
      <c r="AA96" s="42" t="str">
        <f t="shared" si="9"/>
        <v>17</v>
      </c>
      <c r="AB96" s="42" t="str">
        <f t="shared" si="10"/>
        <v>04</v>
      </c>
      <c r="AC96" s="42" t="str">
        <f t="shared" si="11"/>
        <v>2024</v>
      </c>
    </row>
    <row r="97" spans="1:29" x14ac:dyDescent="0.25">
      <c r="A97" s="41">
        <v>45399</v>
      </c>
      <c r="B97" s="42" t="s">
        <v>137</v>
      </c>
      <c r="C97" s="42" t="s">
        <v>908</v>
      </c>
      <c r="D97" s="42" t="s">
        <v>330</v>
      </c>
      <c r="E97" s="43"/>
      <c r="F97" s="44" t="s">
        <v>497</v>
      </c>
      <c r="G97" s="41"/>
      <c r="H97" s="42" t="s">
        <v>580</v>
      </c>
      <c r="I97" s="42" t="s">
        <v>670</v>
      </c>
      <c r="J97" s="45" t="s">
        <v>685</v>
      </c>
      <c r="K97" s="46"/>
      <c r="L97" s="45"/>
      <c r="M97" s="42" t="s">
        <v>19</v>
      </c>
      <c r="N97" s="46" t="s">
        <v>773</v>
      </c>
      <c r="O97" s="42" t="s">
        <v>19</v>
      </c>
      <c r="P97" s="42" t="s">
        <v>854</v>
      </c>
      <c r="Q97" s="45"/>
      <c r="R97" s="45"/>
      <c r="S97" s="42"/>
      <c r="T97" s="47"/>
      <c r="U97" s="45"/>
      <c r="V97" s="42" t="s">
        <v>904</v>
      </c>
      <c r="W97" s="42">
        <f t="shared" si="6"/>
        <v>1</v>
      </c>
      <c r="X97" s="42">
        <f t="shared" si="7"/>
        <v>1</v>
      </c>
      <c r="Y97" s="48">
        <f>Data_Base_Normalisation[[#This Row],[Normalisation Total]]-Data_Base_Normalisation[[#This Row],[Normalisation exécutée]]</f>
        <v>0</v>
      </c>
      <c r="Z97" s="42" t="str">
        <f t="shared" si="8"/>
        <v>mercredi</v>
      </c>
      <c r="AA97" s="42" t="str">
        <f t="shared" si="9"/>
        <v>17</v>
      </c>
      <c r="AB97" s="42" t="str">
        <f t="shared" si="10"/>
        <v>04</v>
      </c>
      <c r="AC97" s="42" t="str">
        <f t="shared" si="11"/>
        <v>2024</v>
      </c>
    </row>
    <row r="98" spans="1:29" x14ac:dyDescent="0.25">
      <c r="A98" s="41">
        <v>45399</v>
      </c>
      <c r="B98" s="42" t="s">
        <v>138</v>
      </c>
      <c r="C98" s="42" t="s">
        <v>908</v>
      </c>
      <c r="D98" s="42" t="s">
        <v>331</v>
      </c>
      <c r="E98" s="43"/>
      <c r="F98" s="44" t="s">
        <v>499</v>
      </c>
      <c r="G98" s="41"/>
      <c r="H98" s="42" t="s">
        <v>581</v>
      </c>
      <c r="I98" s="42" t="s">
        <v>671</v>
      </c>
      <c r="J98" s="45" t="s">
        <v>689</v>
      </c>
      <c r="K98" s="46"/>
      <c r="L98" s="45"/>
      <c r="M98" s="42" t="s">
        <v>718</v>
      </c>
      <c r="N98" s="46" t="s">
        <v>773</v>
      </c>
      <c r="O98" s="42" t="s">
        <v>718</v>
      </c>
      <c r="P98" s="42" t="s">
        <v>855</v>
      </c>
      <c r="Q98" s="45"/>
      <c r="R98" s="45"/>
      <c r="S98" s="42"/>
      <c r="T98" s="47"/>
      <c r="U98" s="45"/>
      <c r="V98" s="42" t="s">
        <v>904</v>
      </c>
      <c r="W98" s="42">
        <f t="shared" si="6"/>
        <v>1</v>
      </c>
      <c r="X98" s="42">
        <f t="shared" si="7"/>
        <v>1</v>
      </c>
      <c r="Y98" s="48">
        <f>Data_Base_Normalisation[[#This Row],[Normalisation Total]]-Data_Base_Normalisation[[#This Row],[Normalisation exécutée]]</f>
        <v>0</v>
      </c>
      <c r="Z98" s="42" t="str">
        <f t="shared" si="8"/>
        <v>mercredi</v>
      </c>
      <c r="AA98" s="42" t="str">
        <f t="shared" si="9"/>
        <v>17</v>
      </c>
      <c r="AB98" s="42" t="str">
        <f t="shared" si="10"/>
        <v>04</v>
      </c>
      <c r="AC98" s="42" t="str">
        <f t="shared" si="11"/>
        <v>2024</v>
      </c>
    </row>
    <row r="99" spans="1:29" x14ac:dyDescent="0.25">
      <c r="A99" s="41">
        <v>45399</v>
      </c>
      <c r="B99" s="42" t="s">
        <v>139</v>
      </c>
      <c r="C99" s="42" t="s">
        <v>9</v>
      </c>
      <c r="D99" s="42" t="s">
        <v>332</v>
      </c>
      <c r="E99" s="43"/>
      <c r="F99" s="44" t="s">
        <v>497</v>
      </c>
      <c r="G99" s="41"/>
      <c r="H99" s="42" t="s">
        <v>582</v>
      </c>
      <c r="I99" s="42" t="s">
        <v>670</v>
      </c>
      <c r="J99" s="45" t="s">
        <v>685</v>
      </c>
      <c r="K99" s="46">
        <v>45418</v>
      </c>
      <c r="L99" s="45"/>
      <c r="M99" s="42" t="s">
        <v>721</v>
      </c>
      <c r="N99" s="46">
        <v>45399</v>
      </c>
      <c r="O99" s="42" t="s">
        <v>755</v>
      </c>
      <c r="P99" s="42" t="s">
        <v>856</v>
      </c>
      <c r="Q99" s="45"/>
      <c r="R99" s="45"/>
      <c r="S99" s="42"/>
      <c r="T99" s="47"/>
      <c r="U99" s="45"/>
      <c r="V99" s="42" t="s">
        <v>904</v>
      </c>
      <c r="W99" s="42">
        <f t="shared" si="6"/>
        <v>1</v>
      </c>
      <c r="X99" s="42">
        <f t="shared" si="7"/>
        <v>1</v>
      </c>
      <c r="Y99" s="48">
        <f>Data_Base_Normalisation[[#This Row],[Normalisation Total]]-Data_Base_Normalisation[[#This Row],[Normalisation exécutée]]</f>
        <v>0</v>
      </c>
      <c r="Z99" s="42" t="str">
        <f t="shared" si="8"/>
        <v>mercredi</v>
      </c>
      <c r="AA99" s="42" t="str">
        <f t="shared" si="9"/>
        <v>17</v>
      </c>
      <c r="AB99" s="42" t="str">
        <f t="shared" si="10"/>
        <v>04</v>
      </c>
      <c r="AC99" s="42" t="str">
        <f t="shared" si="11"/>
        <v>2024</v>
      </c>
    </row>
    <row r="100" spans="1:29" x14ac:dyDescent="0.25">
      <c r="A100" s="41">
        <v>45399</v>
      </c>
      <c r="B100" s="42" t="s">
        <v>140</v>
      </c>
      <c r="C100" s="42" t="s">
        <v>908</v>
      </c>
      <c r="D100" s="42" t="s">
        <v>333</v>
      </c>
      <c r="E100" s="43"/>
      <c r="F100" s="44" t="s">
        <v>497</v>
      </c>
      <c r="G100" s="41"/>
      <c r="H100" s="42"/>
      <c r="I100" s="42" t="s">
        <v>670</v>
      </c>
      <c r="J100" s="45" t="s">
        <v>685</v>
      </c>
      <c r="K100" s="46"/>
      <c r="L100" s="45"/>
      <c r="M100" s="42" t="s">
        <v>719</v>
      </c>
      <c r="N100" s="46">
        <v>45399</v>
      </c>
      <c r="O100" s="42" t="s">
        <v>745</v>
      </c>
      <c r="P100" s="42" t="s">
        <v>857</v>
      </c>
      <c r="Q100" s="45"/>
      <c r="R100" s="45"/>
      <c r="S100" s="42"/>
      <c r="T100" s="47"/>
      <c r="U100" s="45"/>
      <c r="V100" s="42" t="s">
        <v>904</v>
      </c>
      <c r="W100" s="42">
        <f t="shared" si="6"/>
        <v>1</v>
      </c>
      <c r="X100" s="42">
        <f t="shared" si="7"/>
        <v>1</v>
      </c>
      <c r="Y100" s="48">
        <f>Data_Base_Normalisation[[#This Row],[Normalisation Total]]-Data_Base_Normalisation[[#This Row],[Normalisation exécutée]]</f>
        <v>0</v>
      </c>
      <c r="Z100" s="42" t="str">
        <f t="shared" si="8"/>
        <v>mercredi</v>
      </c>
      <c r="AA100" s="42" t="str">
        <f t="shared" si="9"/>
        <v>17</v>
      </c>
      <c r="AB100" s="42" t="str">
        <f t="shared" si="10"/>
        <v>04</v>
      </c>
      <c r="AC100" s="42" t="str">
        <f t="shared" si="11"/>
        <v>2024</v>
      </c>
    </row>
    <row r="101" spans="1:29" x14ac:dyDescent="0.25">
      <c r="A101" s="41">
        <v>45401</v>
      </c>
      <c r="B101" s="42" t="s">
        <v>141</v>
      </c>
      <c r="C101" s="42" t="s">
        <v>9</v>
      </c>
      <c r="D101" s="42" t="s">
        <v>334</v>
      </c>
      <c r="E101" s="43"/>
      <c r="F101" s="44"/>
      <c r="G101" s="41"/>
      <c r="H101" s="42" t="s">
        <v>583</v>
      </c>
      <c r="I101" s="42" t="s">
        <v>671</v>
      </c>
      <c r="J101" s="45" t="s">
        <v>689</v>
      </c>
      <c r="K101" s="46"/>
      <c r="L101" s="45"/>
      <c r="M101" s="42"/>
      <c r="N101" s="46"/>
      <c r="O101" s="42"/>
      <c r="P101" s="42"/>
      <c r="Q101" s="45"/>
      <c r="R101" s="45"/>
      <c r="S101" s="42"/>
      <c r="T101" s="47"/>
      <c r="U101" s="45"/>
      <c r="V101" s="42"/>
      <c r="W101" s="42">
        <f t="shared" si="6"/>
        <v>1</v>
      </c>
      <c r="X101" s="42">
        <f t="shared" si="7"/>
        <v>0</v>
      </c>
      <c r="Y101" s="48">
        <f>Data_Base_Normalisation[[#This Row],[Normalisation Total]]-Data_Base_Normalisation[[#This Row],[Normalisation exécutée]]</f>
        <v>1</v>
      </c>
      <c r="Z101" s="42" t="str">
        <f t="shared" si="8"/>
        <v>vendredi</v>
      </c>
      <c r="AA101" s="42" t="str">
        <f t="shared" si="9"/>
        <v>19</v>
      </c>
      <c r="AB101" s="42" t="str">
        <f t="shared" si="10"/>
        <v>04</v>
      </c>
      <c r="AC101" s="42" t="str">
        <f t="shared" si="11"/>
        <v>2024</v>
      </c>
    </row>
    <row r="102" spans="1:29" x14ac:dyDescent="0.25">
      <c r="A102" s="41">
        <v>45401</v>
      </c>
      <c r="B102" s="42" t="s">
        <v>142</v>
      </c>
      <c r="C102" s="42" t="s">
        <v>9</v>
      </c>
      <c r="D102" s="42" t="s">
        <v>335</v>
      </c>
      <c r="E102" s="43"/>
      <c r="F102" s="44" t="s">
        <v>496</v>
      </c>
      <c r="G102" s="41"/>
      <c r="H102" s="42" t="s">
        <v>584</v>
      </c>
      <c r="I102" s="42" t="s">
        <v>670</v>
      </c>
      <c r="J102" s="45" t="s">
        <v>685</v>
      </c>
      <c r="K102" s="46">
        <v>45418</v>
      </c>
      <c r="L102" s="45"/>
      <c r="M102" s="42"/>
      <c r="N102" s="46"/>
      <c r="O102" s="42"/>
      <c r="P102" s="42"/>
      <c r="Q102" s="45"/>
      <c r="R102" s="45"/>
      <c r="S102" s="42"/>
      <c r="T102" s="47"/>
      <c r="U102" s="45"/>
      <c r="V102" s="42"/>
      <c r="W102" s="42">
        <f t="shared" si="6"/>
        <v>1</v>
      </c>
      <c r="X102" s="42">
        <f t="shared" si="7"/>
        <v>0</v>
      </c>
      <c r="Y102" s="48">
        <f>Data_Base_Normalisation[[#This Row],[Normalisation Total]]-Data_Base_Normalisation[[#This Row],[Normalisation exécutée]]</f>
        <v>1</v>
      </c>
      <c r="Z102" s="42" t="str">
        <f t="shared" si="8"/>
        <v>vendredi</v>
      </c>
      <c r="AA102" s="42" t="str">
        <f t="shared" si="9"/>
        <v>19</v>
      </c>
      <c r="AB102" s="42" t="str">
        <f t="shared" si="10"/>
        <v>04</v>
      </c>
      <c r="AC102" s="42" t="str">
        <f t="shared" si="11"/>
        <v>2024</v>
      </c>
    </row>
    <row r="103" spans="1:29" x14ac:dyDescent="0.25">
      <c r="A103" s="41">
        <v>45401</v>
      </c>
      <c r="B103" s="42" t="s">
        <v>143</v>
      </c>
      <c r="C103" s="42" t="s">
        <v>9</v>
      </c>
      <c r="D103" s="42" t="s">
        <v>336</v>
      </c>
      <c r="E103" s="43"/>
      <c r="F103" s="44" t="s">
        <v>499</v>
      </c>
      <c r="G103" s="41"/>
      <c r="H103" s="42" t="s">
        <v>585</v>
      </c>
      <c r="I103" s="42" t="s">
        <v>670</v>
      </c>
      <c r="J103" s="45" t="s">
        <v>685</v>
      </c>
      <c r="K103" s="46">
        <v>45418</v>
      </c>
      <c r="L103" s="45"/>
      <c r="M103" s="42"/>
      <c r="N103" s="46"/>
      <c r="O103" s="42"/>
      <c r="P103" s="42"/>
      <c r="Q103" s="45"/>
      <c r="R103" s="45"/>
      <c r="S103" s="42"/>
      <c r="T103" s="47"/>
      <c r="U103" s="45"/>
      <c r="V103" s="42"/>
      <c r="W103" s="42">
        <f t="shared" si="6"/>
        <v>1</v>
      </c>
      <c r="X103" s="42">
        <f t="shared" si="7"/>
        <v>0</v>
      </c>
      <c r="Y103" s="48">
        <f>Data_Base_Normalisation[[#This Row],[Normalisation Total]]-Data_Base_Normalisation[[#This Row],[Normalisation exécutée]]</f>
        <v>1</v>
      </c>
      <c r="Z103" s="42" t="str">
        <f t="shared" si="8"/>
        <v>vendredi</v>
      </c>
      <c r="AA103" s="42" t="str">
        <f t="shared" si="9"/>
        <v>19</v>
      </c>
      <c r="AB103" s="42" t="str">
        <f t="shared" si="10"/>
        <v>04</v>
      </c>
      <c r="AC103" s="42" t="str">
        <f t="shared" si="11"/>
        <v>2024</v>
      </c>
    </row>
    <row r="104" spans="1:29" x14ac:dyDescent="0.25">
      <c r="A104" s="41">
        <v>45401</v>
      </c>
      <c r="B104" s="42" t="s">
        <v>144</v>
      </c>
      <c r="C104" s="42" t="s">
        <v>9</v>
      </c>
      <c r="D104" s="42" t="s">
        <v>337</v>
      </c>
      <c r="E104" s="43"/>
      <c r="F104" s="44" t="s">
        <v>498</v>
      </c>
      <c r="G104" s="41"/>
      <c r="H104" s="42" t="s">
        <v>586</v>
      </c>
      <c r="I104" s="42" t="s">
        <v>670</v>
      </c>
      <c r="J104" s="45" t="s">
        <v>684</v>
      </c>
      <c r="K104" s="46">
        <v>45418</v>
      </c>
      <c r="L104" s="45" t="s">
        <v>700</v>
      </c>
      <c r="M104" s="42" t="s">
        <v>10</v>
      </c>
      <c r="N104" s="46" t="s">
        <v>775</v>
      </c>
      <c r="O104" s="42" t="s">
        <v>39</v>
      </c>
      <c r="P104" s="42" t="s">
        <v>858</v>
      </c>
      <c r="Q104" s="45">
        <v>0</v>
      </c>
      <c r="R104" s="45">
        <v>10</v>
      </c>
      <c r="S104" s="42">
        <v>15</v>
      </c>
      <c r="T104" s="47"/>
      <c r="U104" s="45">
        <v>1</v>
      </c>
      <c r="V104" s="42" t="s">
        <v>905</v>
      </c>
      <c r="W104" s="42">
        <f t="shared" si="6"/>
        <v>1</v>
      </c>
      <c r="X104" s="42">
        <f t="shared" si="7"/>
        <v>1</v>
      </c>
      <c r="Y104" s="48">
        <f>Data_Base_Normalisation[[#This Row],[Normalisation Total]]-Data_Base_Normalisation[[#This Row],[Normalisation exécutée]]</f>
        <v>0</v>
      </c>
      <c r="Z104" s="42" t="str">
        <f t="shared" si="8"/>
        <v>vendredi</v>
      </c>
      <c r="AA104" s="42" t="str">
        <f t="shared" si="9"/>
        <v>19</v>
      </c>
      <c r="AB104" s="42" t="str">
        <f t="shared" si="10"/>
        <v>04</v>
      </c>
      <c r="AC104" s="42" t="str">
        <f t="shared" si="11"/>
        <v>2024</v>
      </c>
    </row>
    <row r="105" spans="1:29" x14ac:dyDescent="0.25">
      <c r="A105" s="41">
        <v>45401</v>
      </c>
      <c r="B105" s="42" t="s">
        <v>145</v>
      </c>
      <c r="C105" s="42" t="s">
        <v>9</v>
      </c>
      <c r="D105" s="42" t="s">
        <v>338</v>
      </c>
      <c r="E105" s="43"/>
      <c r="F105" s="44" t="s">
        <v>497</v>
      </c>
      <c r="G105" s="41"/>
      <c r="H105" s="42" t="s">
        <v>587</v>
      </c>
      <c r="I105" s="42" t="s">
        <v>670</v>
      </c>
      <c r="J105" s="45" t="s">
        <v>685</v>
      </c>
      <c r="K105" s="46">
        <v>45405</v>
      </c>
      <c r="L105" s="45"/>
      <c r="M105" s="42"/>
      <c r="N105" s="46"/>
      <c r="O105" s="42"/>
      <c r="P105" s="42"/>
      <c r="Q105" s="45"/>
      <c r="R105" s="45"/>
      <c r="S105" s="42"/>
      <c r="T105" s="47"/>
      <c r="U105" s="45"/>
      <c r="V105" s="42"/>
      <c r="W105" s="42">
        <f t="shared" si="6"/>
        <v>1</v>
      </c>
      <c r="X105" s="42">
        <f t="shared" si="7"/>
        <v>0</v>
      </c>
      <c r="Y105" s="48">
        <f>Data_Base_Normalisation[[#This Row],[Normalisation Total]]-Data_Base_Normalisation[[#This Row],[Normalisation exécutée]]</f>
        <v>1</v>
      </c>
      <c r="Z105" s="42" t="str">
        <f t="shared" si="8"/>
        <v>vendredi</v>
      </c>
      <c r="AA105" s="42" t="str">
        <f t="shared" si="9"/>
        <v>19</v>
      </c>
      <c r="AB105" s="42" t="str">
        <f t="shared" si="10"/>
        <v>04</v>
      </c>
      <c r="AC105" s="42" t="str">
        <f t="shared" si="11"/>
        <v>2024</v>
      </c>
    </row>
    <row r="106" spans="1:29" x14ac:dyDescent="0.25">
      <c r="A106" s="41">
        <v>45401</v>
      </c>
      <c r="B106" s="42" t="s">
        <v>146</v>
      </c>
      <c r="C106" s="42" t="s">
        <v>9</v>
      </c>
      <c r="D106" s="42" t="s">
        <v>339</v>
      </c>
      <c r="E106" s="43"/>
      <c r="F106" s="44" t="s">
        <v>498</v>
      </c>
      <c r="G106" s="41"/>
      <c r="H106" s="42" t="s">
        <v>588</v>
      </c>
      <c r="I106" s="42" t="s">
        <v>670</v>
      </c>
      <c r="J106" s="45" t="s">
        <v>684</v>
      </c>
      <c r="K106" s="46">
        <v>45412</v>
      </c>
      <c r="L106" s="45"/>
      <c r="M106" s="42"/>
      <c r="N106" s="46"/>
      <c r="O106" s="42"/>
      <c r="P106" s="42"/>
      <c r="Q106" s="45"/>
      <c r="R106" s="45"/>
      <c r="S106" s="42"/>
      <c r="T106" s="47"/>
      <c r="U106" s="45"/>
      <c r="V106" s="42"/>
      <c r="W106" s="42">
        <f t="shared" si="6"/>
        <v>1</v>
      </c>
      <c r="X106" s="42">
        <f t="shared" si="7"/>
        <v>0</v>
      </c>
      <c r="Y106" s="48">
        <f>Data_Base_Normalisation[[#This Row],[Normalisation Total]]-Data_Base_Normalisation[[#This Row],[Normalisation exécutée]]</f>
        <v>1</v>
      </c>
      <c r="Z106" s="42" t="str">
        <f t="shared" si="8"/>
        <v>vendredi</v>
      </c>
      <c r="AA106" s="42" t="str">
        <f t="shared" si="9"/>
        <v>19</v>
      </c>
      <c r="AB106" s="42" t="str">
        <f t="shared" si="10"/>
        <v>04</v>
      </c>
      <c r="AC106" s="42" t="str">
        <f t="shared" si="11"/>
        <v>2024</v>
      </c>
    </row>
    <row r="107" spans="1:29" x14ac:dyDescent="0.25">
      <c r="A107" s="41">
        <v>45401</v>
      </c>
      <c r="B107" s="42" t="s">
        <v>147</v>
      </c>
      <c r="C107" s="42" t="s">
        <v>9</v>
      </c>
      <c r="D107" s="42" t="s">
        <v>340</v>
      </c>
      <c r="E107" s="43"/>
      <c r="F107" s="44" t="s">
        <v>497</v>
      </c>
      <c r="G107" s="41"/>
      <c r="H107" s="42" t="s">
        <v>589</v>
      </c>
      <c r="I107" s="42" t="s">
        <v>670</v>
      </c>
      <c r="J107" s="45" t="s">
        <v>685</v>
      </c>
      <c r="K107" s="46"/>
      <c r="L107" s="45" t="s">
        <v>703</v>
      </c>
      <c r="M107" s="42" t="s">
        <v>734</v>
      </c>
      <c r="N107" s="46" t="s">
        <v>776</v>
      </c>
      <c r="O107" s="42" t="s">
        <v>760</v>
      </c>
      <c r="P107" s="42" t="s">
        <v>859</v>
      </c>
      <c r="Q107" s="45">
        <v>0</v>
      </c>
      <c r="R107" s="45">
        <v>10</v>
      </c>
      <c r="S107" s="42">
        <v>30</v>
      </c>
      <c r="T107" s="47"/>
      <c r="U107" s="45">
        <v>1</v>
      </c>
      <c r="V107" s="42" t="s">
        <v>904</v>
      </c>
      <c r="W107" s="42">
        <f t="shared" si="6"/>
        <v>1</v>
      </c>
      <c r="X107" s="42">
        <f t="shared" si="7"/>
        <v>1</v>
      </c>
      <c r="Y107" s="48">
        <f>Data_Base_Normalisation[[#This Row],[Normalisation Total]]-Data_Base_Normalisation[[#This Row],[Normalisation exécutée]]</f>
        <v>0</v>
      </c>
      <c r="Z107" s="42" t="str">
        <f t="shared" si="8"/>
        <v>vendredi</v>
      </c>
      <c r="AA107" s="42" t="str">
        <f t="shared" si="9"/>
        <v>19</v>
      </c>
      <c r="AB107" s="42" t="str">
        <f t="shared" si="10"/>
        <v>04</v>
      </c>
      <c r="AC107" s="42" t="str">
        <f t="shared" si="11"/>
        <v>2024</v>
      </c>
    </row>
    <row r="108" spans="1:29" x14ac:dyDescent="0.25">
      <c r="A108" s="41">
        <v>45401</v>
      </c>
      <c r="B108" s="42" t="s">
        <v>148</v>
      </c>
      <c r="C108" s="42" t="s">
        <v>9</v>
      </c>
      <c r="D108" s="42" t="s">
        <v>341</v>
      </c>
      <c r="E108" s="43"/>
      <c r="F108" s="44" t="s">
        <v>497</v>
      </c>
      <c r="G108" s="41"/>
      <c r="H108" s="42" t="s">
        <v>590</v>
      </c>
      <c r="I108" s="42" t="s">
        <v>670</v>
      </c>
      <c r="J108" s="45" t="s">
        <v>685</v>
      </c>
      <c r="K108" s="46"/>
      <c r="L108" s="45"/>
      <c r="M108" s="42"/>
      <c r="N108" s="46"/>
      <c r="O108" s="42"/>
      <c r="P108" s="42"/>
      <c r="Q108" s="45"/>
      <c r="R108" s="45"/>
      <c r="S108" s="42"/>
      <c r="T108" s="47"/>
      <c r="U108" s="45"/>
      <c r="V108" s="42"/>
      <c r="W108" s="42">
        <f t="shared" si="6"/>
        <v>1</v>
      </c>
      <c r="X108" s="42">
        <f t="shared" si="7"/>
        <v>0</v>
      </c>
      <c r="Y108" s="48">
        <f>Data_Base_Normalisation[[#This Row],[Normalisation Total]]-Data_Base_Normalisation[[#This Row],[Normalisation exécutée]]</f>
        <v>1</v>
      </c>
      <c r="Z108" s="42" t="str">
        <f t="shared" si="8"/>
        <v>vendredi</v>
      </c>
      <c r="AA108" s="42" t="str">
        <f t="shared" si="9"/>
        <v>19</v>
      </c>
      <c r="AB108" s="42" t="str">
        <f t="shared" si="10"/>
        <v>04</v>
      </c>
      <c r="AC108" s="42" t="str">
        <f t="shared" si="11"/>
        <v>2024</v>
      </c>
    </row>
    <row r="109" spans="1:29" x14ac:dyDescent="0.25">
      <c r="A109" s="41">
        <v>45401</v>
      </c>
      <c r="B109" s="42" t="s">
        <v>149</v>
      </c>
      <c r="C109" s="42" t="s">
        <v>908</v>
      </c>
      <c r="D109" s="42" t="s">
        <v>342</v>
      </c>
      <c r="E109" s="43"/>
      <c r="F109" s="44" t="s">
        <v>497</v>
      </c>
      <c r="G109" s="41"/>
      <c r="H109" s="42" t="s">
        <v>591</v>
      </c>
      <c r="I109" s="42" t="s">
        <v>666</v>
      </c>
      <c r="J109" s="45" t="s">
        <v>685</v>
      </c>
      <c r="K109" s="46"/>
      <c r="L109" s="45" t="s">
        <v>709</v>
      </c>
      <c r="M109" s="42" t="s">
        <v>729</v>
      </c>
      <c r="N109" s="46" t="s">
        <v>11</v>
      </c>
      <c r="O109" s="42" t="s">
        <v>761</v>
      </c>
      <c r="P109" s="42" t="s">
        <v>860</v>
      </c>
      <c r="Q109" s="45">
        <v>176</v>
      </c>
      <c r="R109" s="45">
        <v>10</v>
      </c>
      <c r="S109" s="42"/>
      <c r="T109" s="47">
        <v>45394</v>
      </c>
      <c r="U109" s="45">
        <v>1</v>
      </c>
      <c r="V109" s="42" t="s">
        <v>905</v>
      </c>
      <c r="W109" s="42">
        <f t="shared" si="6"/>
        <v>1</v>
      </c>
      <c r="X109" s="42">
        <f t="shared" si="7"/>
        <v>1</v>
      </c>
      <c r="Y109" s="48">
        <f>Data_Base_Normalisation[[#This Row],[Normalisation Total]]-Data_Base_Normalisation[[#This Row],[Normalisation exécutée]]</f>
        <v>0</v>
      </c>
      <c r="Z109" s="42" t="str">
        <f t="shared" si="8"/>
        <v>vendredi</v>
      </c>
      <c r="AA109" s="42" t="str">
        <f t="shared" si="9"/>
        <v>19</v>
      </c>
      <c r="AB109" s="42" t="str">
        <f t="shared" si="10"/>
        <v>04</v>
      </c>
      <c r="AC109" s="42" t="str">
        <f t="shared" si="11"/>
        <v>2024</v>
      </c>
    </row>
    <row r="110" spans="1:29" x14ac:dyDescent="0.25">
      <c r="A110" s="41">
        <v>45401</v>
      </c>
      <c r="B110" s="42" t="s">
        <v>150</v>
      </c>
      <c r="C110" s="42" t="s">
        <v>9</v>
      </c>
      <c r="D110" s="42" t="s">
        <v>343</v>
      </c>
      <c r="E110" s="43"/>
      <c r="F110" s="44" t="s">
        <v>497</v>
      </c>
      <c r="G110" s="41"/>
      <c r="H110" s="42" t="s">
        <v>592</v>
      </c>
      <c r="I110" s="42" t="s">
        <v>670</v>
      </c>
      <c r="J110" s="45" t="s">
        <v>685</v>
      </c>
      <c r="K110" s="46"/>
      <c r="L110" s="45" t="s">
        <v>703</v>
      </c>
      <c r="M110" s="42" t="s">
        <v>734</v>
      </c>
      <c r="N110" s="46" t="s">
        <v>776</v>
      </c>
      <c r="O110" s="42" t="s">
        <v>760</v>
      </c>
      <c r="P110" s="42" t="s">
        <v>861</v>
      </c>
      <c r="Q110" s="45">
        <v>0</v>
      </c>
      <c r="R110" s="45">
        <v>10</v>
      </c>
      <c r="S110" s="42">
        <v>30</v>
      </c>
      <c r="T110" s="47"/>
      <c r="U110" s="45">
        <v>1</v>
      </c>
      <c r="V110" s="42" t="s">
        <v>905</v>
      </c>
      <c r="W110" s="42">
        <f t="shared" si="6"/>
        <v>1</v>
      </c>
      <c r="X110" s="42">
        <f t="shared" si="7"/>
        <v>1</v>
      </c>
      <c r="Y110" s="48">
        <f>Data_Base_Normalisation[[#This Row],[Normalisation Total]]-Data_Base_Normalisation[[#This Row],[Normalisation exécutée]]</f>
        <v>0</v>
      </c>
      <c r="Z110" s="42" t="str">
        <f t="shared" si="8"/>
        <v>vendredi</v>
      </c>
      <c r="AA110" s="42" t="str">
        <f t="shared" si="9"/>
        <v>19</v>
      </c>
      <c r="AB110" s="42" t="str">
        <f t="shared" si="10"/>
        <v>04</v>
      </c>
      <c r="AC110" s="42" t="str">
        <f t="shared" si="11"/>
        <v>2024</v>
      </c>
    </row>
    <row r="111" spans="1:29" x14ac:dyDescent="0.25">
      <c r="A111" s="41">
        <v>45401</v>
      </c>
      <c r="B111" s="42" t="s">
        <v>151</v>
      </c>
      <c r="C111" s="42" t="s">
        <v>9</v>
      </c>
      <c r="D111" s="42" t="s">
        <v>344</v>
      </c>
      <c r="E111" s="43"/>
      <c r="F111" s="44" t="s">
        <v>497</v>
      </c>
      <c r="G111" s="41"/>
      <c r="H111" s="42" t="s">
        <v>593</v>
      </c>
      <c r="I111" s="42" t="s">
        <v>670</v>
      </c>
      <c r="J111" s="45" t="s">
        <v>685</v>
      </c>
      <c r="K111" s="46"/>
      <c r="L111" s="45" t="s">
        <v>700</v>
      </c>
      <c r="M111" s="42" t="s">
        <v>730</v>
      </c>
      <c r="N111" s="46" t="s">
        <v>775</v>
      </c>
      <c r="O111" s="42" t="s">
        <v>39</v>
      </c>
      <c r="P111" s="42" t="s">
        <v>862</v>
      </c>
      <c r="Q111" s="45">
        <v>0</v>
      </c>
      <c r="R111" s="45">
        <v>10</v>
      </c>
      <c r="S111" s="42">
        <v>15</v>
      </c>
      <c r="T111" s="47"/>
      <c r="U111" s="45">
        <v>1</v>
      </c>
      <c r="V111" s="42" t="s">
        <v>904</v>
      </c>
      <c r="W111" s="42">
        <f t="shared" si="6"/>
        <v>1</v>
      </c>
      <c r="X111" s="42">
        <f t="shared" si="7"/>
        <v>1</v>
      </c>
      <c r="Y111" s="48">
        <f>Data_Base_Normalisation[[#This Row],[Normalisation Total]]-Data_Base_Normalisation[[#This Row],[Normalisation exécutée]]</f>
        <v>0</v>
      </c>
      <c r="Z111" s="42" t="str">
        <f t="shared" si="8"/>
        <v>vendredi</v>
      </c>
      <c r="AA111" s="42" t="str">
        <f t="shared" si="9"/>
        <v>19</v>
      </c>
      <c r="AB111" s="42" t="str">
        <f t="shared" si="10"/>
        <v>04</v>
      </c>
      <c r="AC111" s="42" t="str">
        <f t="shared" si="11"/>
        <v>2024</v>
      </c>
    </row>
    <row r="112" spans="1:29" x14ac:dyDescent="0.25">
      <c r="A112" s="41">
        <v>45401</v>
      </c>
      <c r="B112" s="42" t="s">
        <v>152</v>
      </c>
      <c r="C112" s="42" t="s">
        <v>1</v>
      </c>
      <c r="D112" s="42" t="s">
        <v>345</v>
      </c>
      <c r="E112" s="43"/>
      <c r="F112" s="44"/>
      <c r="G112" s="41"/>
      <c r="H112" s="42" t="s">
        <v>594</v>
      </c>
      <c r="I112" s="42" t="s">
        <v>672</v>
      </c>
      <c r="J112" s="45" t="s">
        <v>690</v>
      </c>
      <c r="K112" s="46"/>
      <c r="L112" s="45" t="s">
        <v>700</v>
      </c>
      <c r="M112" s="42" t="s">
        <v>10</v>
      </c>
      <c r="N112" s="46" t="s">
        <v>775</v>
      </c>
      <c r="O112" s="42" t="s">
        <v>39</v>
      </c>
      <c r="P112" s="42" t="s">
        <v>863</v>
      </c>
      <c r="Q112" s="45">
        <v>0</v>
      </c>
      <c r="R112" s="45">
        <v>294</v>
      </c>
      <c r="S112" s="42"/>
      <c r="T112" s="47"/>
      <c r="U112" s="45">
        <v>1</v>
      </c>
      <c r="V112" s="42" t="s">
        <v>904</v>
      </c>
      <c r="W112" s="42">
        <f t="shared" si="6"/>
        <v>1</v>
      </c>
      <c r="X112" s="42">
        <f t="shared" si="7"/>
        <v>1</v>
      </c>
      <c r="Y112" s="48">
        <f>Data_Base_Normalisation[[#This Row],[Normalisation Total]]-Data_Base_Normalisation[[#This Row],[Normalisation exécutée]]</f>
        <v>0</v>
      </c>
      <c r="Z112" s="42" t="str">
        <f t="shared" si="8"/>
        <v>vendredi</v>
      </c>
      <c r="AA112" s="42" t="str">
        <f t="shared" si="9"/>
        <v>19</v>
      </c>
      <c r="AB112" s="42" t="str">
        <f t="shared" si="10"/>
        <v>04</v>
      </c>
      <c r="AC112" s="42" t="str">
        <f t="shared" si="11"/>
        <v>2024</v>
      </c>
    </row>
    <row r="113" spans="1:29" x14ac:dyDescent="0.25">
      <c r="A113" s="41">
        <v>45401</v>
      </c>
      <c r="B113" s="42" t="s">
        <v>153</v>
      </c>
      <c r="C113" s="42" t="s">
        <v>908</v>
      </c>
      <c r="D113" s="42" t="s">
        <v>346</v>
      </c>
      <c r="E113" s="43"/>
      <c r="F113" s="44" t="s">
        <v>497</v>
      </c>
      <c r="G113" s="41"/>
      <c r="H113" s="42" t="s">
        <v>595</v>
      </c>
      <c r="I113" s="42" t="s">
        <v>670</v>
      </c>
      <c r="J113" s="45" t="s">
        <v>685</v>
      </c>
      <c r="K113" s="46"/>
      <c r="L113" s="45" t="s">
        <v>698</v>
      </c>
      <c r="M113" s="42" t="s">
        <v>10</v>
      </c>
      <c r="N113" s="46">
        <v>45405</v>
      </c>
      <c r="O113" s="42" t="s">
        <v>39</v>
      </c>
      <c r="P113" s="42" t="s">
        <v>864</v>
      </c>
      <c r="Q113" s="45">
        <v>0</v>
      </c>
      <c r="R113" s="45">
        <v>10</v>
      </c>
      <c r="S113" s="42">
        <v>30</v>
      </c>
      <c r="T113" s="47"/>
      <c r="U113" s="45">
        <v>1</v>
      </c>
      <c r="V113" s="42" t="s">
        <v>904</v>
      </c>
      <c r="W113" s="42">
        <f t="shared" si="6"/>
        <v>1</v>
      </c>
      <c r="X113" s="42">
        <f t="shared" si="7"/>
        <v>1</v>
      </c>
      <c r="Y113" s="48">
        <f>Data_Base_Normalisation[[#This Row],[Normalisation Total]]-Data_Base_Normalisation[[#This Row],[Normalisation exécutée]]</f>
        <v>0</v>
      </c>
      <c r="Z113" s="42" t="str">
        <f t="shared" si="8"/>
        <v>vendredi</v>
      </c>
      <c r="AA113" s="42" t="str">
        <f t="shared" si="9"/>
        <v>19</v>
      </c>
      <c r="AB113" s="42" t="str">
        <f t="shared" si="10"/>
        <v>04</v>
      </c>
      <c r="AC113" s="42" t="str">
        <f t="shared" si="11"/>
        <v>2024</v>
      </c>
    </row>
    <row r="114" spans="1:29" x14ac:dyDescent="0.25">
      <c r="A114" s="41">
        <v>45401</v>
      </c>
      <c r="B114" s="42" t="s">
        <v>154</v>
      </c>
      <c r="C114" s="42" t="s">
        <v>1</v>
      </c>
      <c r="D114" s="42" t="s">
        <v>347</v>
      </c>
      <c r="E114" s="43"/>
      <c r="F114" s="44"/>
      <c r="G114" s="41"/>
      <c r="H114" s="42" t="s">
        <v>596</v>
      </c>
      <c r="I114" s="42" t="s">
        <v>672</v>
      </c>
      <c r="J114" s="45" t="s">
        <v>690</v>
      </c>
      <c r="K114" s="46"/>
      <c r="L114" s="45" t="s">
        <v>707</v>
      </c>
      <c r="M114" s="42" t="s">
        <v>10</v>
      </c>
      <c r="N114" s="46">
        <v>45405</v>
      </c>
      <c r="O114" s="42" t="s">
        <v>39</v>
      </c>
      <c r="P114" s="42" t="s">
        <v>865</v>
      </c>
      <c r="Q114" s="45">
        <v>0</v>
      </c>
      <c r="R114" s="45">
        <v>0</v>
      </c>
      <c r="S114" s="42">
        <v>0</v>
      </c>
      <c r="T114" s="47"/>
      <c r="U114" s="45">
        <v>1</v>
      </c>
      <c r="V114" s="42" t="s">
        <v>905</v>
      </c>
      <c r="W114" s="42">
        <f t="shared" si="6"/>
        <v>1</v>
      </c>
      <c r="X114" s="42">
        <f t="shared" si="7"/>
        <v>1</v>
      </c>
      <c r="Y114" s="48">
        <f>Data_Base_Normalisation[[#This Row],[Normalisation Total]]-Data_Base_Normalisation[[#This Row],[Normalisation exécutée]]</f>
        <v>0</v>
      </c>
      <c r="Z114" s="42" t="str">
        <f t="shared" si="8"/>
        <v>vendredi</v>
      </c>
      <c r="AA114" s="42" t="str">
        <f t="shared" si="9"/>
        <v>19</v>
      </c>
      <c r="AB114" s="42" t="str">
        <f t="shared" si="10"/>
        <v>04</v>
      </c>
      <c r="AC114" s="42" t="str">
        <f t="shared" si="11"/>
        <v>2024</v>
      </c>
    </row>
    <row r="115" spans="1:29" x14ac:dyDescent="0.25">
      <c r="A115" s="41">
        <v>45401</v>
      </c>
      <c r="B115" s="42" t="s">
        <v>155</v>
      </c>
      <c r="C115" s="42" t="s">
        <v>9</v>
      </c>
      <c r="D115" s="42" t="s">
        <v>348</v>
      </c>
      <c r="E115" s="43"/>
      <c r="F115" s="44" t="s">
        <v>497</v>
      </c>
      <c r="G115" s="41"/>
      <c r="H115" s="42" t="s">
        <v>597</v>
      </c>
      <c r="I115" s="42" t="s">
        <v>670</v>
      </c>
      <c r="J115" s="45" t="s">
        <v>685</v>
      </c>
      <c r="K115" s="46"/>
      <c r="L115" s="45" t="s">
        <v>703</v>
      </c>
      <c r="M115" s="42" t="s">
        <v>10</v>
      </c>
      <c r="N115" s="46">
        <v>45405</v>
      </c>
      <c r="O115" s="42" t="s">
        <v>39</v>
      </c>
      <c r="P115" s="42" t="s">
        <v>866</v>
      </c>
      <c r="Q115" s="45">
        <v>0</v>
      </c>
      <c r="R115" s="45">
        <v>10</v>
      </c>
      <c r="S115" s="42">
        <v>15</v>
      </c>
      <c r="T115" s="47"/>
      <c r="U115" s="45">
        <v>1</v>
      </c>
      <c r="V115" s="42" t="s">
        <v>905</v>
      </c>
      <c r="W115" s="42">
        <f t="shared" si="6"/>
        <v>1</v>
      </c>
      <c r="X115" s="42">
        <f t="shared" si="7"/>
        <v>1</v>
      </c>
      <c r="Y115" s="48">
        <f>Data_Base_Normalisation[[#This Row],[Normalisation Total]]-Data_Base_Normalisation[[#This Row],[Normalisation exécutée]]</f>
        <v>0</v>
      </c>
      <c r="Z115" s="42" t="str">
        <f t="shared" si="8"/>
        <v>vendredi</v>
      </c>
      <c r="AA115" s="42" t="str">
        <f t="shared" si="9"/>
        <v>19</v>
      </c>
      <c r="AB115" s="42" t="str">
        <f t="shared" si="10"/>
        <v>04</v>
      </c>
      <c r="AC115" s="42" t="str">
        <f t="shared" si="11"/>
        <v>2024</v>
      </c>
    </row>
    <row r="116" spans="1:29" x14ac:dyDescent="0.25">
      <c r="A116" s="41">
        <v>45401</v>
      </c>
      <c r="B116" s="42" t="s">
        <v>156</v>
      </c>
      <c r="C116" s="42" t="s">
        <v>9</v>
      </c>
      <c r="D116" s="42" t="s">
        <v>349</v>
      </c>
      <c r="E116" s="43"/>
      <c r="F116" s="44"/>
      <c r="G116" s="41"/>
      <c r="H116" s="42" t="s">
        <v>598</v>
      </c>
      <c r="I116" s="42" t="s">
        <v>673</v>
      </c>
      <c r="J116" s="45" t="s">
        <v>691</v>
      </c>
      <c r="K116" s="46"/>
      <c r="L116" s="45" t="s">
        <v>710</v>
      </c>
      <c r="M116" s="42" t="s">
        <v>10</v>
      </c>
      <c r="N116" s="46">
        <v>45405</v>
      </c>
      <c r="O116" s="42" t="s">
        <v>39</v>
      </c>
      <c r="P116" s="42" t="s">
        <v>867</v>
      </c>
      <c r="Q116" s="45">
        <v>0</v>
      </c>
      <c r="R116" s="45">
        <v>1155</v>
      </c>
      <c r="S116" s="42">
        <v>30</v>
      </c>
      <c r="T116" s="47"/>
      <c r="U116" s="45">
        <v>1</v>
      </c>
      <c r="V116" s="42" t="s">
        <v>905</v>
      </c>
      <c r="W116" s="42">
        <f t="shared" si="6"/>
        <v>1</v>
      </c>
      <c r="X116" s="42">
        <f t="shared" si="7"/>
        <v>1</v>
      </c>
      <c r="Y116" s="48">
        <f>Data_Base_Normalisation[[#This Row],[Normalisation Total]]-Data_Base_Normalisation[[#This Row],[Normalisation exécutée]]</f>
        <v>0</v>
      </c>
      <c r="Z116" s="42" t="str">
        <f t="shared" si="8"/>
        <v>vendredi</v>
      </c>
      <c r="AA116" s="42" t="str">
        <f t="shared" si="9"/>
        <v>19</v>
      </c>
      <c r="AB116" s="42" t="str">
        <f t="shared" si="10"/>
        <v>04</v>
      </c>
      <c r="AC116" s="42" t="str">
        <f t="shared" si="11"/>
        <v>2024</v>
      </c>
    </row>
    <row r="117" spans="1:29" x14ac:dyDescent="0.25">
      <c r="A117" s="41">
        <v>45401</v>
      </c>
      <c r="B117" s="42" t="s">
        <v>157</v>
      </c>
      <c r="C117" s="42" t="s">
        <v>9</v>
      </c>
      <c r="D117" s="42" t="s">
        <v>350</v>
      </c>
      <c r="E117" s="43"/>
      <c r="F117" s="44" t="s">
        <v>499</v>
      </c>
      <c r="G117" s="41"/>
      <c r="H117" s="42"/>
      <c r="I117" s="42" t="s">
        <v>666</v>
      </c>
      <c r="J117" s="45" t="s">
        <v>685</v>
      </c>
      <c r="K117" s="46">
        <v>45418</v>
      </c>
      <c r="L117" s="45" t="s">
        <v>711</v>
      </c>
      <c r="M117" s="42" t="s">
        <v>735</v>
      </c>
      <c r="N117" s="46">
        <v>45404</v>
      </c>
      <c r="O117" s="42" t="s">
        <v>762</v>
      </c>
      <c r="P117" s="42" t="s">
        <v>868</v>
      </c>
      <c r="Q117" s="45" t="s">
        <v>900</v>
      </c>
      <c r="R117" s="45">
        <v>4864</v>
      </c>
      <c r="S117" s="42">
        <v>60</v>
      </c>
      <c r="T117" s="47"/>
      <c r="U117" s="45">
        <v>1</v>
      </c>
      <c r="V117" s="42" t="s">
        <v>904</v>
      </c>
      <c r="W117" s="42">
        <f t="shared" si="6"/>
        <v>1</v>
      </c>
      <c r="X117" s="42">
        <f t="shared" si="7"/>
        <v>1</v>
      </c>
      <c r="Y117" s="48">
        <f>Data_Base_Normalisation[[#This Row],[Normalisation Total]]-Data_Base_Normalisation[[#This Row],[Normalisation exécutée]]</f>
        <v>0</v>
      </c>
      <c r="Z117" s="42" t="str">
        <f t="shared" si="8"/>
        <v>vendredi</v>
      </c>
      <c r="AA117" s="42" t="str">
        <f t="shared" si="9"/>
        <v>19</v>
      </c>
      <c r="AB117" s="42" t="str">
        <f t="shared" si="10"/>
        <v>04</v>
      </c>
      <c r="AC117" s="42" t="str">
        <f t="shared" si="11"/>
        <v>2024</v>
      </c>
    </row>
    <row r="118" spans="1:29" x14ac:dyDescent="0.25">
      <c r="A118" s="41">
        <v>45404</v>
      </c>
      <c r="B118" s="42" t="s">
        <v>158</v>
      </c>
      <c r="C118" s="42" t="s">
        <v>1</v>
      </c>
      <c r="D118" s="42" t="s">
        <v>351</v>
      </c>
      <c r="E118" s="43"/>
      <c r="F118" s="44" t="s">
        <v>497</v>
      </c>
      <c r="G118" s="41"/>
      <c r="H118" s="42" t="s">
        <v>599</v>
      </c>
      <c r="I118" s="42" t="s">
        <v>667</v>
      </c>
      <c r="J118" s="45" t="s">
        <v>685</v>
      </c>
      <c r="K118" s="46">
        <v>45418</v>
      </c>
      <c r="L118" s="45" t="s">
        <v>703</v>
      </c>
      <c r="M118" s="42" t="s">
        <v>736</v>
      </c>
      <c r="N118" s="46" t="s">
        <v>776</v>
      </c>
      <c r="O118" s="42" t="s">
        <v>760</v>
      </c>
      <c r="P118" s="42" t="s">
        <v>869</v>
      </c>
      <c r="Q118" s="45" t="s">
        <v>899</v>
      </c>
      <c r="R118" s="45">
        <v>10</v>
      </c>
      <c r="S118" s="42">
        <v>30</v>
      </c>
      <c r="T118" s="47"/>
      <c r="U118" s="45">
        <v>1</v>
      </c>
      <c r="V118" s="42" t="s">
        <v>904</v>
      </c>
      <c r="W118" s="42">
        <f t="shared" si="6"/>
        <v>1</v>
      </c>
      <c r="X118" s="42">
        <f t="shared" si="7"/>
        <v>1</v>
      </c>
      <c r="Y118" s="48">
        <f>Data_Base_Normalisation[[#This Row],[Normalisation Total]]-Data_Base_Normalisation[[#This Row],[Normalisation exécutée]]</f>
        <v>0</v>
      </c>
      <c r="Z118" s="42" t="str">
        <f t="shared" si="8"/>
        <v>lundi</v>
      </c>
      <c r="AA118" s="42" t="str">
        <f t="shared" si="9"/>
        <v>22</v>
      </c>
      <c r="AB118" s="42" t="str">
        <f t="shared" si="10"/>
        <v>04</v>
      </c>
      <c r="AC118" s="42" t="str">
        <f t="shared" si="11"/>
        <v>2024</v>
      </c>
    </row>
    <row r="119" spans="1:29" x14ac:dyDescent="0.25">
      <c r="A119" s="41">
        <v>45404</v>
      </c>
      <c r="B119" s="42" t="s">
        <v>159</v>
      </c>
      <c r="C119" s="42" t="s">
        <v>908</v>
      </c>
      <c r="D119" s="42" t="s">
        <v>352</v>
      </c>
      <c r="E119" s="43"/>
      <c r="F119" s="44" t="s">
        <v>497</v>
      </c>
      <c r="G119" s="41"/>
      <c r="H119" s="42" t="s">
        <v>600</v>
      </c>
      <c r="I119" s="42" t="s">
        <v>667</v>
      </c>
      <c r="J119" s="45" t="s">
        <v>685</v>
      </c>
      <c r="K119" s="46"/>
      <c r="L119" s="45"/>
      <c r="M119" s="42"/>
      <c r="N119" s="46"/>
      <c r="O119" s="42"/>
      <c r="P119" s="42"/>
      <c r="Q119" s="45"/>
      <c r="R119" s="45"/>
      <c r="S119" s="42"/>
      <c r="T119" s="47"/>
      <c r="U119" s="45"/>
      <c r="V119" s="42"/>
      <c r="W119" s="42">
        <f t="shared" si="6"/>
        <v>1</v>
      </c>
      <c r="X119" s="42">
        <f t="shared" si="7"/>
        <v>0</v>
      </c>
      <c r="Y119" s="48">
        <f>Data_Base_Normalisation[[#This Row],[Normalisation Total]]-Data_Base_Normalisation[[#This Row],[Normalisation exécutée]]</f>
        <v>1</v>
      </c>
      <c r="Z119" s="42" t="str">
        <f t="shared" si="8"/>
        <v>lundi</v>
      </c>
      <c r="AA119" s="42" t="str">
        <f t="shared" si="9"/>
        <v>22</v>
      </c>
      <c r="AB119" s="42" t="str">
        <f t="shared" si="10"/>
        <v>04</v>
      </c>
      <c r="AC119" s="42" t="str">
        <f t="shared" si="11"/>
        <v>2024</v>
      </c>
    </row>
    <row r="120" spans="1:29" x14ac:dyDescent="0.25">
      <c r="A120" s="41">
        <v>45404</v>
      </c>
      <c r="B120" s="42" t="s">
        <v>160</v>
      </c>
      <c r="C120" s="42" t="s">
        <v>908</v>
      </c>
      <c r="D120" s="42" t="s">
        <v>353</v>
      </c>
      <c r="E120" s="43"/>
      <c r="F120" s="44" t="s">
        <v>497</v>
      </c>
      <c r="G120" s="41"/>
      <c r="H120" s="42" t="s">
        <v>601</v>
      </c>
      <c r="I120" s="42" t="s">
        <v>667</v>
      </c>
      <c r="J120" s="45" t="s">
        <v>685</v>
      </c>
      <c r="K120" s="46"/>
      <c r="L120" s="45" t="s">
        <v>703</v>
      </c>
      <c r="M120" s="42" t="s">
        <v>21</v>
      </c>
      <c r="N120" s="46" t="s">
        <v>777</v>
      </c>
      <c r="O120" s="42" t="s">
        <v>21</v>
      </c>
      <c r="P120" s="42" t="s">
        <v>870</v>
      </c>
      <c r="Q120" s="45">
        <v>0</v>
      </c>
      <c r="R120" s="45">
        <v>10</v>
      </c>
      <c r="S120" s="42">
        <v>60</v>
      </c>
      <c r="T120" s="47"/>
      <c r="U120" s="45">
        <v>1</v>
      </c>
      <c r="V120" s="42" t="s">
        <v>905</v>
      </c>
      <c r="W120" s="42">
        <f t="shared" si="6"/>
        <v>1</v>
      </c>
      <c r="X120" s="42">
        <f t="shared" si="7"/>
        <v>1</v>
      </c>
      <c r="Y120" s="48">
        <f>Data_Base_Normalisation[[#This Row],[Normalisation Total]]-Data_Base_Normalisation[[#This Row],[Normalisation exécutée]]</f>
        <v>0</v>
      </c>
      <c r="Z120" s="42" t="str">
        <f t="shared" si="8"/>
        <v>lundi</v>
      </c>
      <c r="AA120" s="42" t="str">
        <f t="shared" si="9"/>
        <v>22</v>
      </c>
      <c r="AB120" s="42" t="str">
        <f t="shared" si="10"/>
        <v>04</v>
      </c>
      <c r="AC120" s="42" t="str">
        <f t="shared" si="11"/>
        <v>2024</v>
      </c>
    </row>
    <row r="121" spans="1:29" x14ac:dyDescent="0.25">
      <c r="A121" s="41">
        <v>45404</v>
      </c>
      <c r="B121" s="42" t="s">
        <v>161</v>
      </c>
      <c r="C121" s="42" t="s">
        <v>908</v>
      </c>
      <c r="D121" s="42" t="s">
        <v>354</v>
      </c>
      <c r="E121" s="43"/>
      <c r="F121" s="44" t="s">
        <v>497</v>
      </c>
      <c r="G121" s="41"/>
      <c r="H121" s="42" t="s">
        <v>602</v>
      </c>
      <c r="I121" s="42" t="s">
        <v>667</v>
      </c>
      <c r="J121" s="45" t="s">
        <v>685</v>
      </c>
      <c r="K121" s="46"/>
      <c r="L121" s="45"/>
      <c r="M121" s="42"/>
      <c r="N121" s="46"/>
      <c r="O121" s="42"/>
      <c r="P121" s="42"/>
      <c r="Q121" s="45"/>
      <c r="R121" s="45"/>
      <c r="S121" s="42"/>
      <c r="T121" s="47"/>
      <c r="U121" s="45"/>
      <c r="V121" s="42"/>
      <c r="W121" s="42">
        <f t="shared" si="6"/>
        <v>1</v>
      </c>
      <c r="X121" s="42">
        <f t="shared" si="7"/>
        <v>0</v>
      </c>
      <c r="Y121" s="48">
        <f>Data_Base_Normalisation[[#This Row],[Normalisation Total]]-Data_Base_Normalisation[[#This Row],[Normalisation exécutée]]</f>
        <v>1</v>
      </c>
      <c r="Z121" s="42" t="str">
        <f t="shared" si="8"/>
        <v>lundi</v>
      </c>
      <c r="AA121" s="42" t="str">
        <f t="shared" si="9"/>
        <v>22</v>
      </c>
      <c r="AB121" s="42" t="str">
        <f t="shared" si="10"/>
        <v>04</v>
      </c>
      <c r="AC121" s="42" t="str">
        <f t="shared" si="11"/>
        <v>2024</v>
      </c>
    </row>
    <row r="122" spans="1:29" x14ac:dyDescent="0.25">
      <c r="A122" s="41">
        <v>45404</v>
      </c>
      <c r="B122" s="42" t="s">
        <v>162</v>
      </c>
      <c r="C122" s="42" t="s">
        <v>908</v>
      </c>
      <c r="D122" s="42" t="s">
        <v>355</v>
      </c>
      <c r="E122" s="43"/>
      <c r="F122" s="44" t="s">
        <v>499</v>
      </c>
      <c r="G122" s="41"/>
      <c r="H122" s="42" t="s">
        <v>603</v>
      </c>
      <c r="I122" s="42" t="s">
        <v>667</v>
      </c>
      <c r="J122" s="45" t="s">
        <v>685</v>
      </c>
      <c r="K122" s="46">
        <v>45420</v>
      </c>
      <c r="L122" s="45"/>
      <c r="M122" s="42"/>
      <c r="N122" s="46"/>
      <c r="O122" s="42"/>
      <c r="P122" s="42"/>
      <c r="Q122" s="45"/>
      <c r="R122" s="45"/>
      <c r="S122" s="42"/>
      <c r="T122" s="47"/>
      <c r="U122" s="45"/>
      <c r="V122" s="42"/>
      <c r="W122" s="42">
        <f t="shared" si="6"/>
        <v>1</v>
      </c>
      <c r="X122" s="42">
        <f t="shared" si="7"/>
        <v>0</v>
      </c>
      <c r="Y122" s="48">
        <f>Data_Base_Normalisation[[#This Row],[Normalisation Total]]-Data_Base_Normalisation[[#This Row],[Normalisation exécutée]]</f>
        <v>1</v>
      </c>
      <c r="Z122" s="42" t="str">
        <f t="shared" si="8"/>
        <v>lundi</v>
      </c>
      <c r="AA122" s="42" t="str">
        <f t="shared" si="9"/>
        <v>22</v>
      </c>
      <c r="AB122" s="42" t="str">
        <f t="shared" si="10"/>
        <v>04</v>
      </c>
      <c r="AC122" s="42" t="str">
        <f t="shared" si="11"/>
        <v>2024</v>
      </c>
    </row>
    <row r="123" spans="1:29" x14ac:dyDescent="0.25">
      <c r="A123" s="41">
        <v>45404</v>
      </c>
      <c r="B123" s="42" t="s">
        <v>163</v>
      </c>
      <c r="C123" s="42" t="s">
        <v>908</v>
      </c>
      <c r="D123" s="42" t="s">
        <v>356</v>
      </c>
      <c r="E123" s="43"/>
      <c r="F123" s="44" t="s">
        <v>499</v>
      </c>
      <c r="G123" s="41"/>
      <c r="H123" s="42" t="s">
        <v>604</v>
      </c>
      <c r="I123" s="42" t="s">
        <v>667</v>
      </c>
      <c r="J123" s="45" t="s">
        <v>685</v>
      </c>
      <c r="K123" s="46">
        <v>45419</v>
      </c>
      <c r="L123" s="45"/>
      <c r="M123" s="42"/>
      <c r="N123" s="46"/>
      <c r="O123" s="42"/>
      <c r="P123" s="42"/>
      <c r="Q123" s="45"/>
      <c r="R123" s="45"/>
      <c r="S123" s="42"/>
      <c r="T123" s="47"/>
      <c r="U123" s="45"/>
      <c r="V123" s="42"/>
      <c r="W123" s="42">
        <f t="shared" si="6"/>
        <v>1</v>
      </c>
      <c r="X123" s="42">
        <f t="shared" si="7"/>
        <v>0</v>
      </c>
      <c r="Y123" s="48">
        <f>Data_Base_Normalisation[[#This Row],[Normalisation Total]]-Data_Base_Normalisation[[#This Row],[Normalisation exécutée]]</f>
        <v>1</v>
      </c>
      <c r="Z123" s="42" t="str">
        <f t="shared" si="8"/>
        <v>lundi</v>
      </c>
      <c r="AA123" s="42" t="str">
        <f t="shared" si="9"/>
        <v>22</v>
      </c>
      <c r="AB123" s="42" t="str">
        <f t="shared" si="10"/>
        <v>04</v>
      </c>
      <c r="AC123" s="42" t="str">
        <f t="shared" si="11"/>
        <v>2024</v>
      </c>
    </row>
    <row r="124" spans="1:29" x14ac:dyDescent="0.25">
      <c r="A124" s="41">
        <v>45404</v>
      </c>
      <c r="B124" s="42" t="s">
        <v>164</v>
      </c>
      <c r="C124" s="42" t="s">
        <v>908</v>
      </c>
      <c r="D124" s="42" t="s">
        <v>357</v>
      </c>
      <c r="E124" s="43"/>
      <c r="F124" s="44" t="s">
        <v>499</v>
      </c>
      <c r="G124" s="41"/>
      <c r="H124" s="42" t="s">
        <v>605</v>
      </c>
      <c r="I124" s="42" t="s">
        <v>670</v>
      </c>
      <c r="J124" s="45" t="s">
        <v>685</v>
      </c>
      <c r="K124" s="46">
        <v>45419</v>
      </c>
      <c r="L124" s="45"/>
      <c r="M124" s="42"/>
      <c r="N124" s="46"/>
      <c r="O124" s="42"/>
      <c r="P124" s="42"/>
      <c r="Q124" s="45"/>
      <c r="R124" s="45"/>
      <c r="S124" s="42"/>
      <c r="T124" s="47"/>
      <c r="U124" s="45"/>
      <c r="V124" s="42"/>
      <c r="W124" s="42">
        <f t="shared" si="6"/>
        <v>1</v>
      </c>
      <c r="X124" s="42">
        <f t="shared" si="7"/>
        <v>0</v>
      </c>
      <c r="Y124" s="48">
        <f>Data_Base_Normalisation[[#This Row],[Normalisation Total]]-Data_Base_Normalisation[[#This Row],[Normalisation exécutée]]</f>
        <v>1</v>
      </c>
      <c r="Z124" s="42" t="str">
        <f t="shared" si="8"/>
        <v>lundi</v>
      </c>
      <c r="AA124" s="42" t="str">
        <f t="shared" si="9"/>
        <v>22</v>
      </c>
      <c r="AB124" s="42" t="str">
        <f t="shared" si="10"/>
        <v>04</v>
      </c>
      <c r="AC124" s="42" t="str">
        <f t="shared" si="11"/>
        <v>2024</v>
      </c>
    </row>
    <row r="125" spans="1:29" x14ac:dyDescent="0.25">
      <c r="A125" s="41">
        <v>45404</v>
      </c>
      <c r="B125" s="42" t="s">
        <v>165</v>
      </c>
      <c r="C125" s="42" t="s">
        <v>908</v>
      </c>
      <c r="D125" s="42" t="s">
        <v>358</v>
      </c>
      <c r="E125" s="43"/>
      <c r="F125" s="44" t="s">
        <v>499</v>
      </c>
      <c r="G125" s="41"/>
      <c r="H125" s="42" t="s">
        <v>606</v>
      </c>
      <c r="I125" s="42" t="s">
        <v>667</v>
      </c>
      <c r="J125" s="45" t="s">
        <v>685</v>
      </c>
      <c r="K125" s="46"/>
      <c r="L125" s="45"/>
      <c r="M125" s="42"/>
      <c r="N125" s="46"/>
      <c r="O125" s="42"/>
      <c r="P125" s="42"/>
      <c r="Q125" s="45"/>
      <c r="R125" s="45"/>
      <c r="S125" s="42"/>
      <c r="T125" s="47"/>
      <c r="U125" s="45"/>
      <c r="V125" s="42"/>
      <c r="W125" s="42">
        <f t="shared" si="6"/>
        <v>1</v>
      </c>
      <c r="X125" s="42">
        <f t="shared" si="7"/>
        <v>0</v>
      </c>
      <c r="Y125" s="48">
        <f>Data_Base_Normalisation[[#This Row],[Normalisation Total]]-Data_Base_Normalisation[[#This Row],[Normalisation exécutée]]</f>
        <v>1</v>
      </c>
      <c r="Z125" s="42" t="str">
        <f t="shared" si="8"/>
        <v>lundi</v>
      </c>
      <c r="AA125" s="42" t="str">
        <f t="shared" si="9"/>
        <v>22</v>
      </c>
      <c r="AB125" s="42" t="str">
        <f t="shared" si="10"/>
        <v>04</v>
      </c>
      <c r="AC125" s="42" t="str">
        <f t="shared" si="11"/>
        <v>2024</v>
      </c>
    </row>
    <row r="126" spans="1:29" x14ac:dyDescent="0.25">
      <c r="A126" s="41">
        <v>45404</v>
      </c>
      <c r="B126" s="42" t="s">
        <v>166</v>
      </c>
      <c r="C126" s="42" t="s">
        <v>908</v>
      </c>
      <c r="D126" s="42" t="s">
        <v>359</v>
      </c>
      <c r="E126" s="43"/>
      <c r="F126" s="44" t="s">
        <v>499</v>
      </c>
      <c r="G126" s="41"/>
      <c r="H126" s="42" t="s">
        <v>607</v>
      </c>
      <c r="I126" s="42" t="s">
        <v>667</v>
      </c>
      <c r="J126" s="45" t="s">
        <v>685</v>
      </c>
      <c r="K126" s="46">
        <v>45407</v>
      </c>
      <c r="L126" s="45"/>
      <c r="M126" s="42"/>
      <c r="N126" s="46"/>
      <c r="O126" s="42"/>
      <c r="P126" s="42"/>
      <c r="Q126" s="45"/>
      <c r="R126" s="45"/>
      <c r="S126" s="42"/>
      <c r="T126" s="47"/>
      <c r="U126" s="45"/>
      <c r="V126" s="42"/>
      <c r="W126" s="42">
        <f t="shared" si="6"/>
        <v>1</v>
      </c>
      <c r="X126" s="42">
        <f t="shared" si="7"/>
        <v>0</v>
      </c>
      <c r="Y126" s="48">
        <f>Data_Base_Normalisation[[#This Row],[Normalisation Total]]-Data_Base_Normalisation[[#This Row],[Normalisation exécutée]]</f>
        <v>1</v>
      </c>
      <c r="Z126" s="42" t="str">
        <f t="shared" si="8"/>
        <v>lundi</v>
      </c>
      <c r="AA126" s="42" t="str">
        <f t="shared" si="9"/>
        <v>22</v>
      </c>
      <c r="AB126" s="42" t="str">
        <f t="shared" si="10"/>
        <v>04</v>
      </c>
      <c r="AC126" s="42" t="str">
        <f t="shared" si="11"/>
        <v>2024</v>
      </c>
    </row>
    <row r="127" spans="1:29" x14ac:dyDescent="0.25">
      <c r="A127" s="41">
        <v>45404</v>
      </c>
      <c r="B127" s="42" t="s">
        <v>167</v>
      </c>
      <c r="C127" s="42" t="s">
        <v>908</v>
      </c>
      <c r="D127" s="42" t="s">
        <v>309</v>
      </c>
      <c r="E127" s="43"/>
      <c r="F127" s="44" t="s">
        <v>499</v>
      </c>
      <c r="G127" s="41"/>
      <c r="H127" s="42" t="s">
        <v>563</v>
      </c>
      <c r="I127" s="42" t="s">
        <v>667</v>
      </c>
      <c r="J127" s="45" t="s">
        <v>685</v>
      </c>
      <c r="K127" s="46"/>
      <c r="L127" s="45"/>
      <c r="M127" s="42"/>
      <c r="N127" s="46"/>
      <c r="O127" s="42"/>
      <c r="P127" s="42"/>
      <c r="Q127" s="45"/>
      <c r="R127" s="45"/>
      <c r="S127" s="42"/>
      <c r="T127" s="47"/>
      <c r="U127" s="45"/>
      <c r="V127" s="42"/>
      <c r="W127" s="42">
        <f t="shared" si="6"/>
        <v>1</v>
      </c>
      <c r="X127" s="42">
        <f t="shared" si="7"/>
        <v>0</v>
      </c>
      <c r="Y127" s="48">
        <f>Data_Base_Normalisation[[#This Row],[Normalisation Total]]-Data_Base_Normalisation[[#This Row],[Normalisation exécutée]]</f>
        <v>1</v>
      </c>
      <c r="Z127" s="42" t="str">
        <f t="shared" si="8"/>
        <v>lundi</v>
      </c>
      <c r="AA127" s="42" t="str">
        <f t="shared" si="9"/>
        <v>22</v>
      </c>
      <c r="AB127" s="42" t="str">
        <f t="shared" si="10"/>
        <v>04</v>
      </c>
      <c r="AC127" s="42" t="str">
        <f t="shared" si="11"/>
        <v>2024</v>
      </c>
    </row>
    <row r="128" spans="1:29" x14ac:dyDescent="0.25">
      <c r="A128" s="41">
        <v>45404</v>
      </c>
      <c r="B128" s="42" t="s">
        <v>168</v>
      </c>
      <c r="C128" s="42" t="s">
        <v>908</v>
      </c>
      <c r="D128" s="42" t="s">
        <v>360</v>
      </c>
      <c r="E128" s="43"/>
      <c r="F128" s="44" t="s">
        <v>499</v>
      </c>
      <c r="G128" s="41"/>
      <c r="H128" s="42" t="s">
        <v>608</v>
      </c>
      <c r="I128" s="42" t="s">
        <v>667</v>
      </c>
      <c r="J128" s="45" t="s">
        <v>685</v>
      </c>
      <c r="K128" s="46"/>
      <c r="L128" s="45"/>
      <c r="M128" s="42"/>
      <c r="N128" s="46"/>
      <c r="O128" s="42"/>
      <c r="P128" s="42"/>
      <c r="Q128" s="45"/>
      <c r="R128" s="45"/>
      <c r="S128" s="42"/>
      <c r="T128" s="47"/>
      <c r="U128" s="45"/>
      <c r="V128" s="42"/>
      <c r="W128" s="42">
        <f t="shared" si="6"/>
        <v>1</v>
      </c>
      <c r="X128" s="42">
        <f t="shared" si="7"/>
        <v>0</v>
      </c>
      <c r="Y128" s="48">
        <f>Data_Base_Normalisation[[#This Row],[Normalisation Total]]-Data_Base_Normalisation[[#This Row],[Normalisation exécutée]]</f>
        <v>1</v>
      </c>
      <c r="Z128" s="42" t="str">
        <f t="shared" si="8"/>
        <v>lundi</v>
      </c>
      <c r="AA128" s="42" t="str">
        <f t="shared" si="9"/>
        <v>22</v>
      </c>
      <c r="AB128" s="42" t="str">
        <f t="shared" si="10"/>
        <v>04</v>
      </c>
      <c r="AC128" s="42" t="str">
        <f t="shared" si="11"/>
        <v>2024</v>
      </c>
    </row>
    <row r="129" spans="1:29" x14ac:dyDescent="0.25">
      <c r="A129" s="41">
        <v>45404</v>
      </c>
      <c r="B129" s="42" t="s">
        <v>169</v>
      </c>
      <c r="C129" s="42" t="s">
        <v>908</v>
      </c>
      <c r="D129" s="42" t="s">
        <v>361</v>
      </c>
      <c r="E129" s="43"/>
      <c r="F129" s="44" t="s">
        <v>499</v>
      </c>
      <c r="G129" s="41"/>
      <c r="H129" s="42" t="s">
        <v>609</v>
      </c>
      <c r="I129" s="42" t="s">
        <v>669</v>
      </c>
      <c r="J129" s="45" t="s">
        <v>685</v>
      </c>
      <c r="K129" s="46"/>
      <c r="L129" s="45" t="s">
        <v>703</v>
      </c>
      <c r="M129" s="42" t="s">
        <v>736</v>
      </c>
      <c r="N129" s="46" t="s">
        <v>778</v>
      </c>
      <c r="O129" s="42" t="s">
        <v>763</v>
      </c>
      <c r="P129" s="42" t="s">
        <v>871</v>
      </c>
      <c r="Q129" s="45">
        <v>0</v>
      </c>
      <c r="R129" s="45">
        <v>10</v>
      </c>
      <c r="S129" s="42">
        <v>30</v>
      </c>
      <c r="T129" s="47"/>
      <c r="U129" s="45">
        <v>1</v>
      </c>
      <c r="V129" s="42" t="s">
        <v>904</v>
      </c>
      <c r="W129" s="42">
        <f t="shared" si="6"/>
        <v>1</v>
      </c>
      <c r="X129" s="42">
        <f t="shared" si="7"/>
        <v>1</v>
      </c>
      <c r="Y129" s="48">
        <f>Data_Base_Normalisation[[#This Row],[Normalisation Total]]-Data_Base_Normalisation[[#This Row],[Normalisation exécutée]]</f>
        <v>0</v>
      </c>
      <c r="Z129" s="42" t="str">
        <f t="shared" si="8"/>
        <v>lundi</v>
      </c>
      <c r="AA129" s="42" t="str">
        <f t="shared" si="9"/>
        <v>22</v>
      </c>
      <c r="AB129" s="42" t="str">
        <f t="shared" si="10"/>
        <v>04</v>
      </c>
      <c r="AC129" s="42" t="str">
        <f t="shared" si="11"/>
        <v>2024</v>
      </c>
    </row>
    <row r="130" spans="1:29" x14ac:dyDescent="0.25">
      <c r="A130" s="41">
        <v>45404</v>
      </c>
      <c r="B130" s="42" t="s">
        <v>170</v>
      </c>
      <c r="C130" s="42" t="s">
        <v>908</v>
      </c>
      <c r="D130" s="42" t="s">
        <v>362</v>
      </c>
      <c r="E130" s="43"/>
      <c r="F130" s="44" t="s">
        <v>497</v>
      </c>
      <c r="G130" s="41"/>
      <c r="H130" s="42" t="s">
        <v>610</v>
      </c>
      <c r="I130" s="42" t="s">
        <v>669</v>
      </c>
      <c r="J130" s="45" t="s">
        <v>685</v>
      </c>
      <c r="K130" s="46"/>
      <c r="L130" s="45"/>
      <c r="M130" s="42"/>
      <c r="N130" s="46"/>
      <c r="O130" s="42"/>
      <c r="P130" s="42"/>
      <c r="Q130" s="45"/>
      <c r="R130" s="45"/>
      <c r="S130" s="42"/>
      <c r="T130" s="47"/>
      <c r="U130" s="45"/>
      <c r="V130" s="42"/>
      <c r="W130" s="42">
        <f t="shared" si="6"/>
        <v>1</v>
      </c>
      <c r="X130" s="42">
        <f t="shared" si="7"/>
        <v>0</v>
      </c>
      <c r="Y130" s="48">
        <f>Data_Base_Normalisation[[#This Row],[Normalisation Total]]-Data_Base_Normalisation[[#This Row],[Normalisation exécutée]]</f>
        <v>1</v>
      </c>
      <c r="Z130" s="42" t="str">
        <f t="shared" si="8"/>
        <v>lundi</v>
      </c>
      <c r="AA130" s="42" t="str">
        <f t="shared" si="9"/>
        <v>22</v>
      </c>
      <c r="AB130" s="42" t="str">
        <f t="shared" si="10"/>
        <v>04</v>
      </c>
      <c r="AC130" s="42" t="str">
        <f t="shared" si="11"/>
        <v>2024</v>
      </c>
    </row>
    <row r="131" spans="1:29" x14ac:dyDescent="0.25">
      <c r="A131" s="41">
        <v>45404</v>
      </c>
      <c r="B131" s="42" t="s">
        <v>171</v>
      </c>
      <c r="C131" s="42" t="s">
        <v>908</v>
      </c>
      <c r="D131" s="42" t="s">
        <v>363</v>
      </c>
      <c r="E131" s="43"/>
      <c r="F131" s="44" t="s">
        <v>497</v>
      </c>
      <c r="G131" s="41"/>
      <c r="H131" s="42"/>
      <c r="I131" s="42" t="s">
        <v>669</v>
      </c>
      <c r="J131" s="45" t="s">
        <v>685</v>
      </c>
      <c r="K131" s="46"/>
      <c r="L131" s="45"/>
      <c r="M131" s="42"/>
      <c r="N131" s="46"/>
      <c r="O131" s="42"/>
      <c r="P131" s="42"/>
      <c r="Q131" s="45"/>
      <c r="R131" s="45"/>
      <c r="S131" s="42"/>
      <c r="T131" s="47"/>
      <c r="U131" s="45"/>
      <c r="V131" s="42"/>
      <c r="W131" s="42">
        <f t="shared" ref="W131:W194" si="12">COUNTA(B131)</f>
        <v>1</v>
      </c>
      <c r="X131" s="42">
        <f t="shared" ref="X131:X194" si="13">COUNTA(P131)</f>
        <v>0</v>
      </c>
      <c r="Y131" s="48">
        <f>Data_Base_Normalisation[[#This Row],[Normalisation Total]]-Data_Base_Normalisation[[#This Row],[Normalisation exécutée]]</f>
        <v>1</v>
      </c>
      <c r="Z131" s="42" t="str">
        <f t="shared" ref="Z131:Z194" si="14">IF(A131=""," ",TEXT(A131,"jjjj"))</f>
        <v>lundi</v>
      </c>
      <c r="AA131" s="42" t="str">
        <f t="shared" ref="AA131:AA194" si="15">IF(A131=""," ",TEXT(A131,"jj"))</f>
        <v>22</v>
      </c>
      <c r="AB131" s="42" t="str">
        <f t="shared" ref="AB131:AB194" si="16">IF(A131=""," ",TEXT(A131,"mm"))</f>
        <v>04</v>
      </c>
      <c r="AC131" s="42" t="str">
        <f t="shared" ref="AC131:AC194" si="17">IF(A131=""," ",TEXT(A131,"AAAA"))</f>
        <v>2024</v>
      </c>
    </row>
    <row r="132" spans="1:29" x14ac:dyDescent="0.25">
      <c r="A132" s="41">
        <v>45404</v>
      </c>
      <c r="B132" s="42" t="s">
        <v>172</v>
      </c>
      <c r="C132" s="42" t="s">
        <v>908</v>
      </c>
      <c r="D132" s="42" t="s">
        <v>364</v>
      </c>
      <c r="E132" s="43"/>
      <c r="F132" s="44" t="s">
        <v>497</v>
      </c>
      <c r="G132" s="41"/>
      <c r="H132" s="42" t="s">
        <v>611</v>
      </c>
      <c r="I132" s="42" t="s">
        <v>669</v>
      </c>
      <c r="J132" s="45" t="s">
        <v>685</v>
      </c>
      <c r="K132" s="46"/>
      <c r="L132" s="45"/>
      <c r="M132" s="42"/>
      <c r="N132" s="46"/>
      <c r="O132" s="42"/>
      <c r="P132" s="42"/>
      <c r="Q132" s="45"/>
      <c r="R132" s="45"/>
      <c r="S132" s="42"/>
      <c r="T132" s="47"/>
      <c r="U132" s="45"/>
      <c r="V132" s="42"/>
      <c r="W132" s="42">
        <f t="shared" si="12"/>
        <v>1</v>
      </c>
      <c r="X132" s="42">
        <f t="shared" si="13"/>
        <v>0</v>
      </c>
      <c r="Y132" s="48">
        <f>Data_Base_Normalisation[[#This Row],[Normalisation Total]]-Data_Base_Normalisation[[#This Row],[Normalisation exécutée]]</f>
        <v>1</v>
      </c>
      <c r="Z132" s="42" t="str">
        <f t="shared" si="14"/>
        <v>lundi</v>
      </c>
      <c r="AA132" s="42" t="str">
        <f t="shared" si="15"/>
        <v>22</v>
      </c>
      <c r="AB132" s="42" t="str">
        <f t="shared" si="16"/>
        <v>04</v>
      </c>
      <c r="AC132" s="42" t="str">
        <f t="shared" si="17"/>
        <v>2024</v>
      </c>
    </row>
    <row r="133" spans="1:29" x14ac:dyDescent="0.25">
      <c r="A133" s="41">
        <v>45404</v>
      </c>
      <c r="B133" s="42" t="s">
        <v>173</v>
      </c>
      <c r="C133" s="42" t="s">
        <v>908</v>
      </c>
      <c r="D133" s="42" t="s">
        <v>365</v>
      </c>
      <c r="E133" s="43"/>
      <c r="F133" s="44" t="s">
        <v>497</v>
      </c>
      <c r="G133" s="41"/>
      <c r="H133" s="42" t="s">
        <v>612</v>
      </c>
      <c r="I133" s="42" t="s">
        <v>669</v>
      </c>
      <c r="J133" s="45" t="s">
        <v>685</v>
      </c>
      <c r="K133" s="46"/>
      <c r="L133" s="45"/>
      <c r="M133" s="42"/>
      <c r="N133" s="46"/>
      <c r="O133" s="42"/>
      <c r="P133" s="42"/>
      <c r="Q133" s="45"/>
      <c r="R133" s="45"/>
      <c r="S133" s="42"/>
      <c r="T133" s="47"/>
      <c r="U133" s="45"/>
      <c r="V133" s="42"/>
      <c r="W133" s="42">
        <f t="shared" si="12"/>
        <v>1</v>
      </c>
      <c r="X133" s="42">
        <f t="shared" si="13"/>
        <v>0</v>
      </c>
      <c r="Y133" s="48">
        <f>Data_Base_Normalisation[[#This Row],[Normalisation Total]]-Data_Base_Normalisation[[#This Row],[Normalisation exécutée]]</f>
        <v>1</v>
      </c>
      <c r="Z133" s="42" t="str">
        <f t="shared" si="14"/>
        <v>lundi</v>
      </c>
      <c r="AA133" s="42" t="str">
        <f t="shared" si="15"/>
        <v>22</v>
      </c>
      <c r="AB133" s="42" t="str">
        <f t="shared" si="16"/>
        <v>04</v>
      </c>
      <c r="AC133" s="42" t="str">
        <f t="shared" si="17"/>
        <v>2024</v>
      </c>
    </row>
    <row r="134" spans="1:29" x14ac:dyDescent="0.25">
      <c r="A134" s="41">
        <v>45404</v>
      </c>
      <c r="B134" s="42" t="s">
        <v>174</v>
      </c>
      <c r="C134" s="42" t="s">
        <v>908</v>
      </c>
      <c r="D134" s="42" t="s">
        <v>366</v>
      </c>
      <c r="E134" s="43"/>
      <c r="F134" s="44" t="s">
        <v>497</v>
      </c>
      <c r="G134" s="41"/>
      <c r="H134" s="42" t="s">
        <v>613</v>
      </c>
      <c r="I134" s="42" t="s">
        <v>669</v>
      </c>
      <c r="J134" s="45" t="s">
        <v>685</v>
      </c>
      <c r="K134" s="46"/>
      <c r="L134" s="45"/>
      <c r="M134" s="42"/>
      <c r="N134" s="46"/>
      <c r="O134" s="42"/>
      <c r="P134" s="42"/>
      <c r="Q134" s="45"/>
      <c r="R134" s="45"/>
      <c r="S134" s="42"/>
      <c r="T134" s="47"/>
      <c r="U134" s="45"/>
      <c r="V134" s="42"/>
      <c r="W134" s="42">
        <f t="shared" si="12"/>
        <v>1</v>
      </c>
      <c r="X134" s="42">
        <f t="shared" si="13"/>
        <v>0</v>
      </c>
      <c r="Y134" s="48">
        <f>Data_Base_Normalisation[[#This Row],[Normalisation Total]]-Data_Base_Normalisation[[#This Row],[Normalisation exécutée]]</f>
        <v>1</v>
      </c>
      <c r="Z134" s="42" t="str">
        <f t="shared" si="14"/>
        <v>lundi</v>
      </c>
      <c r="AA134" s="42" t="str">
        <f t="shared" si="15"/>
        <v>22</v>
      </c>
      <c r="AB134" s="42" t="str">
        <f t="shared" si="16"/>
        <v>04</v>
      </c>
      <c r="AC134" s="42" t="str">
        <f t="shared" si="17"/>
        <v>2024</v>
      </c>
    </row>
    <row r="135" spans="1:29" x14ac:dyDescent="0.25">
      <c r="A135" s="41">
        <v>45404</v>
      </c>
      <c r="B135" s="42" t="s">
        <v>175</v>
      </c>
      <c r="C135" s="42" t="s">
        <v>908</v>
      </c>
      <c r="D135" s="42" t="s">
        <v>367</v>
      </c>
      <c r="E135" s="43"/>
      <c r="F135" s="44" t="s">
        <v>497</v>
      </c>
      <c r="G135" s="41"/>
      <c r="H135" s="42" t="s">
        <v>614</v>
      </c>
      <c r="I135" s="42" t="s">
        <v>669</v>
      </c>
      <c r="J135" s="45" t="s">
        <v>685</v>
      </c>
      <c r="K135" s="46"/>
      <c r="L135" s="45"/>
      <c r="M135" s="42"/>
      <c r="N135" s="46"/>
      <c r="O135" s="42"/>
      <c r="P135" s="42"/>
      <c r="Q135" s="45"/>
      <c r="R135" s="45"/>
      <c r="S135" s="42"/>
      <c r="T135" s="47"/>
      <c r="U135" s="45"/>
      <c r="V135" s="42"/>
      <c r="W135" s="42">
        <f t="shared" si="12"/>
        <v>1</v>
      </c>
      <c r="X135" s="42">
        <f t="shared" si="13"/>
        <v>0</v>
      </c>
      <c r="Y135" s="48">
        <f>Data_Base_Normalisation[[#This Row],[Normalisation Total]]-Data_Base_Normalisation[[#This Row],[Normalisation exécutée]]</f>
        <v>1</v>
      </c>
      <c r="Z135" s="42" t="str">
        <f t="shared" si="14"/>
        <v>lundi</v>
      </c>
      <c r="AA135" s="42" t="str">
        <f t="shared" si="15"/>
        <v>22</v>
      </c>
      <c r="AB135" s="42" t="str">
        <f t="shared" si="16"/>
        <v>04</v>
      </c>
      <c r="AC135" s="42" t="str">
        <f t="shared" si="17"/>
        <v>2024</v>
      </c>
    </row>
    <row r="136" spans="1:29" x14ac:dyDescent="0.25">
      <c r="A136" s="41">
        <v>45404</v>
      </c>
      <c r="B136" s="42" t="s">
        <v>176</v>
      </c>
      <c r="C136" s="42" t="s">
        <v>908</v>
      </c>
      <c r="D136" s="42" t="s">
        <v>368</v>
      </c>
      <c r="E136" s="43"/>
      <c r="F136" s="44" t="s">
        <v>497</v>
      </c>
      <c r="G136" s="41"/>
      <c r="H136" s="42" t="s">
        <v>615</v>
      </c>
      <c r="I136" s="42" t="s">
        <v>669</v>
      </c>
      <c r="J136" s="45" t="s">
        <v>685</v>
      </c>
      <c r="K136" s="46">
        <v>45418</v>
      </c>
      <c r="L136" s="45"/>
      <c r="M136" s="42"/>
      <c r="N136" s="46"/>
      <c r="O136" s="42"/>
      <c r="P136" s="42"/>
      <c r="Q136" s="45"/>
      <c r="R136" s="45"/>
      <c r="S136" s="42"/>
      <c r="T136" s="47"/>
      <c r="U136" s="45"/>
      <c r="V136" s="42"/>
      <c r="W136" s="42">
        <f t="shared" si="12"/>
        <v>1</v>
      </c>
      <c r="X136" s="42">
        <f t="shared" si="13"/>
        <v>0</v>
      </c>
      <c r="Y136" s="48">
        <f>Data_Base_Normalisation[[#This Row],[Normalisation Total]]-Data_Base_Normalisation[[#This Row],[Normalisation exécutée]]</f>
        <v>1</v>
      </c>
      <c r="Z136" s="42" t="str">
        <f t="shared" si="14"/>
        <v>lundi</v>
      </c>
      <c r="AA136" s="42" t="str">
        <f t="shared" si="15"/>
        <v>22</v>
      </c>
      <c r="AB136" s="42" t="str">
        <f t="shared" si="16"/>
        <v>04</v>
      </c>
      <c r="AC136" s="42" t="str">
        <f t="shared" si="17"/>
        <v>2024</v>
      </c>
    </row>
    <row r="137" spans="1:29" x14ac:dyDescent="0.25">
      <c r="A137" s="41">
        <v>45404</v>
      </c>
      <c r="B137" s="42" t="s">
        <v>177</v>
      </c>
      <c r="C137" s="42" t="s">
        <v>908</v>
      </c>
      <c r="D137" s="42" t="s">
        <v>369</v>
      </c>
      <c r="E137" s="43"/>
      <c r="F137" s="44" t="s">
        <v>497</v>
      </c>
      <c r="G137" s="41"/>
      <c r="H137" s="42" t="s">
        <v>616</v>
      </c>
      <c r="I137" s="42" t="s">
        <v>669</v>
      </c>
      <c r="J137" s="45" t="s">
        <v>685</v>
      </c>
      <c r="K137" s="46">
        <v>45399</v>
      </c>
      <c r="L137" s="45"/>
      <c r="M137" s="42"/>
      <c r="N137" s="46"/>
      <c r="O137" s="42"/>
      <c r="P137" s="42"/>
      <c r="Q137" s="45"/>
      <c r="R137" s="45"/>
      <c r="S137" s="42"/>
      <c r="T137" s="47"/>
      <c r="U137" s="45"/>
      <c r="V137" s="42"/>
      <c r="W137" s="42">
        <f t="shared" si="12"/>
        <v>1</v>
      </c>
      <c r="X137" s="42">
        <f t="shared" si="13"/>
        <v>0</v>
      </c>
      <c r="Y137" s="48">
        <f>Data_Base_Normalisation[[#This Row],[Normalisation Total]]-Data_Base_Normalisation[[#This Row],[Normalisation exécutée]]</f>
        <v>1</v>
      </c>
      <c r="Z137" s="42" t="str">
        <f t="shared" si="14"/>
        <v>lundi</v>
      </c>
      <c r="AA137" s="42" t="str">
        <f t="shared" si="15"/>
        <v>22</v>
      </c>
      <c r="AB137" s="42" t="str">
        <f t="shared" si="16"/>
        <v>04</v>
      </c>
      <c r="AC137" s="42" t="str">
        <f t="shared" si="17"/>
        <v>2024</v>
      </c>
    </row>
    <row r="138" spans="1:29" x14ac:dyDescent="0.25">
      <c r="A138" s="41">
        <v>45404</v>
      </c>
      <c r="B138" s="42" t="s">
        <v>178</v>
      </c>
      <c r="C138" s="42" t="s">
        <v>908</v>
      </c>
      <c r="D138" s="42" t="s">
        <v>370</v>
      </c>
      <c r="E138" s="43"/>
      <c r="F138" s="44" t="s">
        <v>497</v>
      </c>
      <c r="G138" s="41"/>
      <c r="H138" s="42" t="s">
        <v>617</v>
      </c>
      <c r="I138" s="42" t="s">
        <v>669</v>
      </c>
      <c r="J138" s="45" t="s">
        <v>685</v>
      </c>
      <c r="K138" s="46"/>
      <c r="L138" s="45"/>
      <c r="M138" s="42"/>
      <c r="N138" s="46"/>
      <c r="O138" s="42"/>
      <c r="P138" s="42"/>
      <c r="Q138" s="45"/>
      <c r="R138" s="45"/>
      <c r="S138" s="42"/>
      <c r="T138" s="47"/>
      <c r="U138" s="45"/>
      <c r="V138" s="42"/>
      <c r="W138" s="42">
        <f t="shared" si="12"/>
        <v>1</v>
      </c>
      <c r="X138" s="42">
        <f t="shared" si="13"/>
        <v>0</v>
      </c>
      <c r="Y138" s="48">
        <f>Data_Base_Normalisation[[#This Row],[Normalisation Total]]-Data_Base_Normalisation[[#This Row],[Normalisation exécutée]]</f>
        <v>1</v>
      </c>
      <c r="Z138" s="42" t="str">
        <f t="shared" si="14"/>
        <v>lundi</v>
      </c>
      <c r="AA138" s="42" t="str">
        <f t="shared" si="15"/>
        <v>22</v>
      </c>
      <c r="AB138" s="42" t="str">
        <f t="shared" si="16"/>
        <v>04</v>
      </c>
      <c r="AC138" s="42" t="str">
        <f t="shared" si="17"/>
        <v>2024</v>
      </c>
    </row>
    <row r="139" spans="1:29" x14ac:dyDescent="0.25">
      <c r="A139" s="41">
        <v>45404</v>
      </c>
      <c r="B139" s="42" t="s">
        <v>179</v>
      </c>
      <c r="C139" s="42" t="s">
        <v>908</v>
      </c>
      <c r="D139" s="42" t="s">
        <v>371</v>
      </c>
      <c r="E139" s="43"/>
      <c r="F139" s="44" t="s">
        <v>497</v>
      </c>
      <c r="G139" s="41"/>
      <c r="H139" s="42" t="s">
        <v>618</v>
      </c>
      <c r="I139" s="42" t="s">
        <v>669</v>
      </c>
      <c r="J139" s="45" t="s">
        <v>685</v>
      </c>
      <c r="K139" s="46"/>
      <c r="L139" s="45"/>
      <c r="M139" s="42"/>
      <c r="N139" s="46"/>
      <c r="O139" s="42"/>
      <c r="P139" s="42"/>
      <c r="Q139" s="45"/>
      <c r="R139" s="45"/>
      <c r="S139" s="42"/>
      <c r="T139" s="47"/>
      <c r="U139" s="45"/>
      <c r="V139" s="42"/>
      <c r="W139" s="42">
        <f t="shared" si="12"/>
        <v>1</v>
      </c>
      <c r="X139" s="42">
        <f t="shared" si="13"/>
        <v>0</v>
      </c>
      <c r="Y139" s="48">
        <f>Data_Base_Normalisation[[#This Row],[Normalisation Total]]-Data_Base_Normalisation[[#This Row],[Normalisation exécutée]]</f>
        <v>1</v>
      </c>
      <c r="Z139" s="42" t="str">
        <f t="shared" si="14"/>
        <v>lundi</v>
      </c>
      <c r="AA139" s="42" t="str">
        <f t="shared" si="15"/>
        <v>22</v>
      </c>
      <c r="AB139" s="42" t="str">
        <f t="shared" si="16"/>
        <v>04</v>
      </c>
      <c r="AC139" s="42" t="str">
        <f t="shared" si="17"/>
        <v>2024</v>
      </c>
    </row>
    <row r="140" spans="1:29" x14ac:dyDescent="0.25">
      <c r="A140" s="41">
        <v>45404</v>
      </c>
      <c r="B140" s="42" t="s">
        <v>180</v>
      </c>
      <c r="C140" s="42" t="s">
        <v>908</v>
      </c>
      <c r="D140" s="42" t="s">
        <v>372</v>
      </c>
      <c r="E140" s="43"/>
      <c r="F140" s="44" t="s">
        <v>499</v>
      </c>
      <c r="G140" s="41"/>
      <c r="H140" s="42" t="s">
        <v>619</v>
      </c>
      <c r="I140" s="42" t="s">
        <v>669</v>
      </c>
      <c r="J140" s="45" t="s">
        <v>685</v>
      </c>
      <c r="K140" s="46"/>
      <c r="L140" s="45"/>
      <c r="M140" s="42"/>
      <c r="N140" s="46"/>
      <c r="O140" s="42"/>
      <c r="P140" s="42"/>
      <c r="Q140" s="45"/>
      <c r="R140" s="45"/>
      <c r="S140" s="42"/>
      <c r="T140" s="47"/>
      <c r="U140" s="45"/>
      <c r="V140" s="42"/>
      <c r="W140" s="42">
        <f t="shared" si="12"/>
        <v>1</v>
      </c>
      <c r="X140" s="42">
        <f t="shared" si="13"/>
        <v>0</v>
      </c>
      <c r="Y140" s="48">
        <f>Data_Base_Normalisation[[#This Row],[Normalisation Total]]-Data_Base_Normalisation[[#This Row],[Normalisation exécutée]]</f>
        <v>1</v>
      </c>
      <c r="Z140" s="42" t="str">
        <f t="shared" si="14"/>
        <v>lundi</v>
      </c>
      <c r="AA140" s="42" t="str">
        <f t="shared" si="15"/>
        <v>22</v>
      </c>
      <c r="AB140" s="42" t="str">
        <f t="shared" si="16"/>
        <v>04</v>
      </c>
      <c r="AC140" s="42" t="str">
        <f t="shared" si="17"/>
        <v>2024</v>
      </c>
    </row>
    <row r="141" spans="1:29" x14ac:dyDescent="0.25">
      <c r="A141" s="41">
        <v>45404</v>
      </c>
      <c r="B141" s="42" t="s">
        <v>181</v>
      </c>
      <c r="C141" s="42" t="s">
        <v>908</v>
      </c>
      <c r="D141" s="42" t="s">
        <v>255</v>
      </c>
      <c r="E141" s="43"/>
      <c r="F141" s="44" t="s">
        <v>503</v>
      </c>
      <c r="G141" s="41"/>
      <c r="H141" s="42" t="s">
        <v>620</v>
      </c>
      <c r="I141" s="42" t="s">
        <v>667</v>
      </c>
      <c r="J141" s="45" t="s">
        <v>685</v>
      </c>
      <c r="K141" s="46"/>
      <c r="L141" s="45"/>
      <c r="M141" s="42"/>
      <c r="N141" s="46"/>
      <c r="O141" s="42"/>
      <c r="P141" s="42"/>
      <c r="Q141" s="45"/>
      <c r="R141" s="45"/>
      <c r="S141" s="42"/>
      <c r="T141" s="47"/>
      <c r="U141" s="45"/>
      <c r="V141" s="42"/>
      <c r="W141" s="42">
        <f t="shared" si="12"/>
        <v>1</v>
      </c>
      <c r="X141" s="42">
        <f t="shared" si="13"/>
        <v>0</v>
      </c>
      <c r="Y141" s="48">
        <f>Data_Base_Normalisation[[#This Row],[Normalisation Total]]-Data_Base_Normalisation[[#This Row],[Normalisation exécutée]]</f>
        <v>1</v>
      </c>
      <c r="Z141" s="42" t="str">
        <f t="shared" si="14"/>
        <v>lundi</v>
      </c>
      <c r="AA141" s="42" t="str">
        <f t="shared" si="15"/>
        <v>22</v>
      </c>
      <c r="AB141" s="42" t="str">
        <f t="shared" si="16"/>
        <v>04</v>
      </c>
      <c r="AC141" s="42" t="str">
        <f t="shared" si="17"/>
        <v>2024</v>
      </c>
    </row>
    <row r="142" spans="1:29" x14ac:dyDescent="0.25">
      <c r="A142" s="41">
        <v>45404</v>
      </c>
      <c r="B142" s="42" t="s">
        <v>182</v>
      </c>
      <c r="C142" s="42" t="s">
        <v>908</v>
      </c>
      <c r="D142" s="42" t="s">
        <v>373</v>
      </c>
      <c r="E142" s="43"/>
      <c r="F142" s="44" t="s">
        <v>497</v>
      </c>
      <c r="G142" s="41"/>
      <c r="H142" s="42"/>
      <c r="I142" s="42"/>
      <c r="J142" s="45"/>
      <c r="K142" s="46">
        <v>45399</v>
      </c>
      <c r="L142" s="45"/>
      <c r="M142" s="42"/>
      <c r="N142" s="46"/>
      <c r="O142" s="42"/>
      <c r="P142" s="42"/>
      <c r="Q142" s="45"/>
      <c r="R142" s="45"/>
      <c r="S142" s="42"/>
      <c r="T142" s="47"/>
      <c r="U142" s="45"/>
      <c r="V142" s="42"/>
      <c r="W142" s="42">
        <f t="shared" si="12"/>
        <v>1</v>
      </c>
      <c r="X142" s="42">
        <f t="shared" si="13"/>
        <v>0</v>
      </c>
      <c r="Y142" s="48">
        <f>Data_Base_Normalisation[[#This Row],[Normalisation Total]]-Data_Base_Normalisation[[#This Row],[Normalisation exécutée]]</f>
        <v>1</v>
      </c>
      <c r="Z142" s="42" t="str">
        <f t="shared" si="14"/>
        <v>lundi</v>
      </c>
      <c r="AA142" s="42" t="str">
        <f t="shared" si="15"/>
        <v>22</v>
      </c>
      <c r="AB142" s="42" t="str">
        <f t="shared" si="16"/>
        <v>04</v>
      </c>
      <c r="AC142" s="42" t="str">
        <f t="shared" si="17"/>
        <v>2024</v>
      </c>
    </row>
    <row r="143" spans="1:29" x14ac:dyDescent="0.25">
      <c r="A143" s="41">
        <v>45404</v>
      </c>
      <c r="B143" s="42" t="s">
        <v>183</v>
      </c>
      <c r="C143" s="42" t="s">
        <v>1</v>
      </c>
      <c r="D143" s="42" t="s">
        <v>374</v>
      </c>
      <c r="E143" s="43"/>
      <c r="F143" s="44"/>
      <c r="G143" s="41"/>
      <c r="H143" s="42" t="s">
        <v>621</v>
      </c>
      <c r="I143" s="42" t="s">
        <v>674</v>
      </c>
      <c r="J143" s="45" t="s">
        <v>689</v>
      </c>
      <c r="K143" s="46"/>
      <c r="L143" s="45"/>
      <c r="M143" s="42"/>
      <c r="N143" s="46"/>
      <c r="O143" s="42"/>
      <c r="P143" s="42"/>
      <c r="Q143" s="45"/>
      <c r="R143" s="45"/>
      <c r="S143" s="42"/>
      <c r="T143" s="47"/>
      <c r="U143" s="45"/>
      <c r="V143" s="42"/>
      <c r="W143" s="42">
        <f t="shared" si="12"/>
        <v>1</v>
      </c>
      <c r="X143" s="42">
        <f t="shared" si="13"/>
        <v>0</v>
      </c>
      <c r="Y143" s="48">
        <f>Data_Base_Normalisation[[#This Row],[Normalisation Total]]-Data_Base_Normalisation[[#This Row],[Normalisation exécutée]]</f>
        <v>1</v>
      </c>
      <c r="Z143" s="42" t="str">
        <f t="shared" si="14"/>
        <v>lundi</v>
      </c>
      <c r="AA143" s="42" t="str">
        <f t="shared" si="15"/>
        <v>22</v>
      </c>
      <c r="AB143" s="42" t="str">
        <f t="shared" si="16"/>
        <v>04</v>
      </c>
      <c r="AC143" s="42" t="str">
        <f t="shared" si="17"/>
        <v>2024</v>
      </c>
    </row>
    <row r="144" spans="1:29" x14ac:dyDescent="0.25">
      <c r="A144" s="41">
        <v>45404</v>
      </c>
      <c r="B144" s="42" t="s">
        <v>184</v>
      </c>
      <c r="C144" s="42" t="s">
        <v>1</v>
      </c>
      <c r="D144" s="42" t="s">
        <v>375</v>
      </c>
      <c r="E144" s="43"/>
      <c r="F144" s="44" t="s">
        <v>497</v>
      </c>
      <c r="G144" s="41"/>
      <c r="H144" s="42" t="s">
        <v>622</v>
      </c>
      <c r="I144" s="42" t="s">
        <v>666</v>
      </c>
      <c r="J144" s="45" t="s">
        <v>685</v>
      </c>
      <c r="K144" s="46">
        <v>45399</v>
      </c>
      <c r="L144" s="45" t="s">
        <v>712</v>
      </c>
      <c r="M144" s="42" t="s">
        <v>730</v>
      </c>
      <c r="N144" s="46" t="s">
        <v>772</v>
      </c>
      <c r="O144" s="42" t="s">
        <v>39</v>
      </c>
      <c r="P144" s="42" t="s">
        <v>872</v>
      </c>
      <c r="Q144" s="45">
        <v>0</v>
      </c>
      <c r="R144" s="45">
        <v>10</v>
      </c>
      <c r="S144" s="42">
        <v>20</v>
      </c>
      <c r="T144" s="47"/>
      <c r="U144" s="45">
        <v>1</v>
      </c>
      <c r="V144" s="42" t="s">
        <v>904</v>
      </c>
      <c r="W144" s="42">
        <f t="shared" si="12"/>
        <v>1</v>
      </c>
      <c r="X144" s="42">
        <f t="shared" si="13"/>
        <v>1</v>
      </c>
      <c r="Y144" s="48">
        <f>Data_Base_Normalisation[[#This Row],[Normalisation Total]]-Data_Base_Normalisation[[#This Row],[Normalisation exécutée]]</f>
        <v>0</v>
      </c>
      <c r="Z144" s="42" t="str">
        <f t="shared" si="14"/>
        <v>lundi</v>
      </c>
      <c r="AA144" s="42" t="str">
        <f t="shared" si="15"/>
        <v>22</v>
      </c>
      <c r="AB144" s="42" t="str">
        <f t="shared" si="16"/>
        <v>04</v>
      </c>
      <c r="AC144" s="42" t="str">
        <f t="shared" si="17"/>
        <v>2024</v>
      </c>
    </row>
    <row r="145" spans="1:29" x14ac:dyDescent="0.25">
      <c r="A145" s="41">
        <v>45404</v>
      </c>
      <c r="B145" s="42" t="s">
        <v>185</v>
      </c>
      <c r="C145" s="42" t="s">
        <v>9</v>
      </c>
      <c r="D145" s="42" t="s">
        <v>376</v>
      </c>
      <c r="E145" s="43"/>
      <c r="F145" s="44" t="s">
        <v>497</v>
      </c>
      <c r="G145" s="41"/>
      <c r="H145" s="42" t="s">
        <v>623</v>
      </c>
      <c r="I145" s="42" t="s">
        <v>666</v>
      </c>
      <c r="J145" s="45" t="s">
        <v>685</v>
      </c>
      <c r="K145" s="46"/>
      <c r="L145" s="45" t="s">
        <v>698</v>
      </c>
      <c r="M145" s="42" t="s">
        <v>21</v>
      </c>
      <c r="N145" s="46" t="s">
        <v>772</v>
      </c>
      <c r="O145" s="42" t="s">
        <v>21</v>
      </c>
      <c r="P145" s="42" t="s">
        <v>873</v>
      </c>
      <c r="Q145" s="45">
        <v>0</v>
      </c>
      <c r="R145" s="45">
        <v>10</v>
      </c>
      <c r="S145" s="42">
        <v>30</v>
      </c>
      <c r="T145" s="47"/>
      <c r="U145" s="45">
        <v>1</v>
      </c>
      <c r="V145" s="42" t="s">
        <v>904</v>
      </c>
      <c r="W145" s="42">
        <f t="shared" si="12"/>
        <v>1</v>
      </c>
      <c r="X145" s="42">
        <f t="shared" si="13"/>
        <v>1</v>
      </c>
      <c r="Y145" s="48">
        <f>Data_Base_Normalisation[[#This Row],[Normalisation Total]]-Data_Base_Normalisation[[#This Row],[Normalisation exécutée]]</f>
        <v>0</v>
      </c>
      <c r="Z145" s="42" t="str">
        <f t="shared" si="14"/>
        <v>lundi</v>
      </c>
      <c r="AA145" s="42" t="str">
        <f t="shared" si="15"/>
        <v>22</v>
      </c>
      <c r="AB145" s="42" t="str">
        <f t="shared" si="16"/>
        <v>04</v>
      </c>
      <c r="AC145" s="42" t="str">
        <f t="shared" si="17"/>
        <v>2024</v>
      </c>
    </row>
    <row r="146" spans="1:29" x14ac:dyDescent="0.25">
      <c r="A146" s="41">
        <v>45404</v>
      </c>
      <c r="B146" s="42" t="s">
        <v>186</v>
      </c>
      <c r="C146" s="42" t="s">
        <v>9</v>
      </c>
      <c r="D146" s="42" t="s">
        <v>377</v>
      </c>
      <c r="E146" s="43"/>
      <c r="F146" s="44" t="s">
        <v>497</v>
      </c>
      <c r="G146" s="41"/>
      <c r="H146" s="42" t="s">
        <v>624</v>
      </c>
      <c r="I146" s="42" t="s">
        <v>666</v>
      </c>
      <c r="J146" s="45" t="s">
        <v>685</v>
      </c>
      <c r="K146" s="46">
        <v>45399</v>
      </c>
      <c r="L146" s="45" t="s">
        <v>703</v>
      </c>
      <c r="M146" s="42" t="s">
        <v>736</v>
      </c>
      <c r="N146" s="46">
        <v>45406</v>
      </c>
      <c r="O146" s="42" t="s">
        <v>764</v>
      </c>
      <c r="P146" s="42" t="s">
        <v>874</v>
      </c>
      <c r="Q146" s="45">
        <v>0</v>
      </c>
      <c r="R146" s="45">
        <v>10</v>
      </c>
      <c r="S146" s="42">
        <v>30</v>
      </c>
      <c r="T146" s="47"/>
      <c r="U146" s="45">
        <v>1</v>
      </c>
      <c r="V146" s="42" t="s">
        <v>905</v>
      </c>
      <c r="W146" s="42">
        <f t="shared" si="12"/>
        <v>1</v>
      </c>
      <c r="X146" s="42">
        <f t="shared" si="13"/>
        <v>1</v>
      </c>
      <c r="Y146" s="48">
        <f>Data_Base_Normalisation[[#This Row],[Normalisation Total]]-Data_Base_Normalisation[[#This Row],[Normalisation exécutée]]</f>
        <v>0</v>
      </c>
      <c r="Z146" s="42" t="str">
        <f t="shared" si="14"/>
        <v>lundi</v>
      </c>
      <c r="AA146" s="42" t="str">
        <f t="shared" si="15"/>
        <v>22</v>
      </c>
      <c r="AB146" s="42" t="str">
        <f t="shared" si="16"/>
        <v>04</v>
      </c>
      <c r="AC146" s="42" t="str">
        <f t="shared" si="17"/>
        <v>2024</v>
      </c>
    </row>
    <row r="147" spans="1:29" x14ac:dyDescent="0.25">
      <c r="A147" s="41">
        <v>45405</v>
      </c>
      <c r="B147" s="42" t="s">
        <v>186</v>
      </c>
      <c r="C147" s="42" t="s">
        <v>9</v>
      </c>
      <c r="D147" s="42" t="s">
        <v>378</v>
      </c>
      <c r="E147" s="43"/>
      <c r="F147" s="44" t="s">
        <v>497</v>
      </c>
      <c r="G147" s="41"/>
      <c r="H147" s="42" t="s">
        <v>624</v>
      </c>
      <c r="I147" s="42" t="s">
        <v>666</v>
      </c>
      <c r="J147" s="45" t="s">
        <v>685</v>
      </c>
      <c r="K147" s="46"/>
      <c r="L147" s="45" t="s">
        <v>710</v>
      </c>
      <c r="M147" s="42" t="s">
        <v>736</v>
      </c>
      <c r="N147" s="46">
        <v>45406</v>
      </c>
      <c r="O147" s="42" t="s">
        <v>764</v>
      </c>
      <c r="P147" s="42" t="s">
        <v>875</v>
      </c>
      <c r="Q147" s="45">
        <v>0</v>
      </c>
      <c r="R147" s="45">
        <v>10</v>
      </c>
      <c r="S147" s="42">
        <v>30</v>
      </c>
      <c r="T147" s="47"/>
      <c r="U147" s="45">
        <v>1</v>
      </c>
      <c r="V147" s="42" t="s">
        <v>904</v>
      </c>
      <c r="W147" s="42">
        <f t="shared" si="12"/>
        <v>1</v>
      </c>
      <c r="X147" s="42">
        <f t="shared" si="13"/>
        <v>1</v>
      </c>
      <c r="Y147" s="48">
        <f>Data_Base_Normalisation[[#This Row],[Normalisation Total]]-Data_Base_Normalisation[[#This Row],[Normalisation exécutée]]</f>
        <v>0</v>
      </c>
      <c r="Z147" s="42" t="str">
        <f t="shared" si="14"/>
        <v>mardi</v>
      </c>
      <c r="AA147" s="42" t="str">
        <f t="shared" si="15"/>
        <v>23</v>
      </c>
      <c r="AB147" s="42" t="str">
        <f t="shared" si="16"/>
        <v>04</v>
      </c>
      <c r="AC147" s="42" t="str">
        <f t="shared" si="17"/>
        <v>2024</v>
      </c>
    </row>
    <row r="148" spans="1:29" x14ac:dyDescent="0.25">
      <c r="A148" s="41">
        <v>45406</v>
      </c>
      <c r="B148" s="42" t="s">
        <v>187</v>
      </c>
      <c r="C148" s="42" t="s">
        <v>908</v>
      </c>
      <c r="D148" s="42" t="s">
        <v>379</v>
      </c>
      <c r="E148" s="43"/>
      <c r="F148" s="44" t="s">
        <v>497</v>
      </c>
      <c r="G148" s="41"/>
      <c r="H148" s="42" t="s">
        <v>513</v>
      </c>
      <c r="I148" s="42" t="s">
        <v>666</v>
      </c>
      <c r="J148" s="45" t="s">
        <v>685</v>
      </c>
      <c r="K148" s="46">
        <v>45399</v>
      </c>
      <c r="L148" s="45" t="s">
        <v>700</v>
      </c>
      <c r="M148" s="42" t="s">
        <v>730</v>
      </c>
      <c r="N148" s="46" t="s">
        <v>778</v>
      </c>
      <c r="O148" s="42" t="s">
        <v>39</v>
      </c>
      <c r="P148" s="42" t="s">
        <v>876</v>
      </c>
      <c r="Q148" s="45">
        <v>0</v>
      </c>
      <c r="R148" s="45">
        <v>10</v>
      </c>
      <c r="S148" s="42">
        <v>10</v>
      </c>
      <c r="T148" s="47"/>
      <c r="U148" s="45">
        <v>1</v>
      </c>
      <c r="V148" s="42" t="s">
        <v>904</v>
      </c>
      <c r="W148" s="42">
        <f t="shared" si="12"/>
        <v>1</v>
      </c>
      <c r="X148" s="42">
        <f t="shared" si="13"/>
        <v>1</v>
      </c>
      <c r="Y148" s="48">
        <f>Data_Base_Normalisation[[#This Row],[Normalisation Total]]-Data_Base_Normalisation[[#This Row],[Normalisation exécutée]]</f>
        <v>0</v>
      </c>
      <c r="Z148" s="42" t="str">
        <f t="shared" si="14"/>
        <v>mercredi</v>
      </c>
      <c r="AA148" s="42" t="str">
        <f t="shared" si="15"/>
        <v>24</v>
      </c>
      <c r="AB148" s="42" t="str">
        <f t="shared" si="16"/>
        <v>04</v>
      </c>
      <c r="AC148" s="42" t="str">
        <f t="shared" si="17"/>
        <v>2024</v>
      </c>
    </row>
    <row r="149" spans="1:29" x14ac:dyDescent="0.25">
      <c r="A149" s="41">
        <v>45406</v>
      </c>
      <c r="B149" s="42" t="s">
        <v>188</v>
      </c>
      <c r="C149" s="42" t="s">
        <v>9</v>
      </c>
      <c r="D149" s="42" t="s">
        <v>380</v>
      </c>
      <c r="E149" s="43"/>
      <c r="F149" s="44" t="s">
        <v>497</v>
      </c>
      <c r="G149" s="41"/>
      <c r="H149" s="42" t="s">
        <v>625</v>
      </c>
      <c r="I149" s="42" t="s">
        <v>666</v>
      </c>
      <c r="J149" s="45" t="s">
        <v>685</v>
      </c>
      <c r="K149" s="46">
        <v>45399</v>
      </c>
      <c r="L149" s="45" t="s">
        <v>703</v>
      </c>
      <c r="M149" s="42" t="s">
        <v>736</v>
      </c>
      <c r="N149" s="46">
        <v>45406</v>
      </c>
      <c r="O149" s="42" t="s">
        <v>764</v>
      </c>
      <c r="P149" s="42" t="s">
        <v>877</v>
      </c>
      <c r="Q149" s="45">
        <v>0</v>
      </c>
      <c r="R149" s="45">
        <v>10</v>
      </c>
      <c r="S149" s="42">
        <v>30</v>
      </c>
      <c r="T149" s="47"/>
      <c r="U149" s="45">
        <v>1</v>
      </c>
      <c r="V149" s="42" t="s">
        <v>905</v>
      </c>
      <c r="W149" s="42">
        <f t="shared" si="12"/>
        <v>1</v>
      </c>
      <c r="X149" s="42">
        <f t="shared" si="13"/>
        <v>1</v>
      </c>
      <c r="Y149" s="48">
        <f>Data_Base_Normalisation[[#This Row],[Normalisation Total]]-Data_Base_Normalisation[[#This Row],[Normalisation exécutée]]</f>
        <v>0</v>
      </c>
      <c r="Z149" s="42" t="str">
        <f t="shared" si="14"/>
        <v>mercredi</v>
      </c>
      <c r="AA149" s="42" t="str">
        <f t="shared" si="15"/>
        <v>24</v>
      </c>
      <c r="AB149" s="42" t="str">
        <f t="shared" si="16"/>
        <v>04</v>
      </c>
      <c r="AC149" s="42" t="str">
        <f t="shared" si="17"/>
        <v>2024</v>
      </c>
    </row>
    <row r="150" spans="1:29" x14ac:dyDescent="0.25">
      <c r="A150" s="41">
        <v>45407</v>
      </c>
      <c r="B150" s="42" t="s">
        <v>189</v>
      </c>
      <c r="C150" s="42" t="s">
        <v>908</v>
      </c>
      <c r="D150" s="42" t="s">
        <v>381</v>
      </c>
      <c r="E150" s="43"/>
      <c r="F150" s="44" t="s">
        <v>497</v>
      </c>
      <c r="G150" s="41"/>
      <c r="H150" s="42" t="s">
        <v>513</v>
      </c>
      <c r="I150" s="42" t="s">
        <v>666</v>
      </c>
      <c r="J150" s="45" t="s">
        <v>685</v>
      </c>
      <c r="K150" s="46">
        <v>45399</v>
      </c>
      <c r="L150" s="45"/>
      <c r="M150" s="42"/>
      <c r="N150" s="46"/>
      <c r="O150" s="42"/>
      <c r="P150" s="42"/>
      <c r="Q150" s="45"/>
      <c r="R150" s="45"/>
      <c r="S150" s="42"/>
      <c r="T150" s="47"/>
      <c r="U150" s="45"/>
      <c r="V150" s="42"/>
      <c r="W150" s="42">
        <f t="shared" si="12"/>
        <v>1</v>
      </c>
      <c r="X150" s="42">
        <f t="shared" si="13"/>
        <v>0</v>
      </c>
      <c r="Y150" s="48">
        <f>Data_Base_Normalisation[[#This Row],[Normalisation Total]]-Data_Base_Normalisation[[#This Row],[Normalisation exécutée]]</f>
        <v>1</v>
      </c>
      <c r="Z150" s="42" t="str">
        <f t="shared" si="14"/>
        <v>jeudi</v>
      </c>
      <c r="AA150" s="42" t="str">
        <f t="shared" si="15"/>
        <v>25</v>
      </c>
      <c r="AB150" s="42" t="str">
        <f t="shared" si="16"/>
        <v>04</v>
      </c>
      <c r="AC150" s="42" t="str">
        <f t="shared" si="17"/>
        <v>2024</v>
      </c>
    </row>
    <row r="151" spans="1:29" x14ac:dyDescent="0.25">
      <c r="A151" s="41">
        <v>45407</v>
      </c>
      <c r="B151" s="42" t="s">
        <v>190</v>
      </c>
      <c r="C151" s="42" t="s">
        <v>908</v>
      </c>
      <c r="D151" s="42" t="s">
        <v>382</v>
      </c>
      <c r="E151" s="43"/>
      <c r="F151" s="44" t="s">
        <v>497</v>
      </c>
      <c r="G151" s="41"/>
      <c r="H151" s="42" t="s">
        <v>18</v>
      </c>
      <c r="I151" s="42" t="s">
        <v>666</v>
      </c>
      <c r="J151" s="45" t="s">
        <v>685</v>
      </c>
      <c r="K151" s="46">
        <v>45399</v>
      </c>
      <c r="L151" s="45" t="s">
        <v>710</v>
      </c>
      <c r="M151" s="42" t="s">
        <v>736</v>
      </c>
      <c r="N151" s="46">
        <v>45406</v>
      </c>
      <c r="O151" s="42" t="s">
        <v>764</v>
      </c>
      <c r="P151" s="42" t="s">
        <v>878</v>
      </c>
      <c r="Q151" s="45">
        <v>0</v>
      </c>
      <c r="R151" s="45">
        <v>0</v>
      </c>
      <c r="S151" s="42">
        <v>60</v>
      </c>
      <c r="T151" s="47"/>
      <c r="U151" s="45">
        <v>1</v>
      </c>
      <c r="V151" s="42" t="s">
        <v>905</v>
      </c>
      <c r="W151" s="42">
        <f t="shared" si="12"/>
        <v>1</v>
      </c>
      <c r="X151" s="42">
        <f t="shared" si="13"/>
        <v>1</v>
      </c>
      <c r="Y151" s="48">
        <f>Data_Base_Normalisation[[#This Row],[Normalisation Total]]-Data_Base_Normalisation[[#This Row],[Normalisation exécutée]]</f>
        <v>0</v>
      </c>
      <c r="Z151" s="42" t="str">
        <f t="shared" si="14"/>
        <v>jeudi</v>
      </c>
      <c r="AA151" s="42" t="str">
        <f t="shared" si="15"/>
        <v>25</v>
      </c>
      <c r="AB151" s="42" t="str">
        <f t="shared" si="16"/>
        <v>04</v>
      </c>
      <c r="AC151" s="42" t="str">
        <f t="shared" si="17"/>
        <v>2024</v>
      </c>
    </row>
    <row r="152" spans="1:29" x14ac:dyDescent="0.25">
      <c r="A152" s="41">
        <v>45407</v>
      </c>
      <c r="B152" s="42" t="s">
        <v>191</v>
      </c>
      <c r="C152" s="42" t="s">
        <v>9</v>
      </c>
      <c r="D152" s="42" t="s">
        <v>383</v>
      </c>
      <c r="E152" s="43"/>
      <c r="F152" s="44" t="s">
        <v>497</v>
      </c>
      <c r="G152" s="41"/>
      <c r="H152" s="42" t="s">
        <v>626</v>
      </c>
      <c r="I152" s="42" t="s">
        <v>666</v>
      </c>
      <c r="J152" s="45" t="s">
        <v>685</v>
      </c>
      <c r="K152" s="46"/>
      <c r="L152" s="45" t="s">
        <v>707</v>
      </c>
      <c r="M152" s="42" t="s">
        <v>737</v>
      </c>
      <c r="N152" s="46" t="s">
        <v>779</v>
      </c>
      <c r="O152" s="42" t="s">
        <v>765</v>
      </c>
      <c r="P152" s="42" t="s">
        <v>879</v>
      </c>
      <c r="Q152" s="45">
        <v>739126</v>
      </c>
      <c r="R152" s="45">
        <v>3517</v>
      </c>
      <c r="S152" s="42"/>
      <c r="T152" s="47"/>
      <c r="U152" s="45">
        <v>1</v>
      </c>
      <c r="V152" s="42" t="s">
        <v>905</v>
      </c>
      <c r="W152" s="42">
        <f t="shared" si="12"/>
        <v>1</v>
      </c>
      <c r="X152" s="42">
        <f t="shared" si="13"/>
        <v>1</v>
      </c>
      <c r="Y152" s="48">
        <f>Data_Base_Normalisation[[#This Row],[Normalisation Total]]-Data_Base_Normalisation[[#This Row],[Normalisation exécutée]]</f>
        <v>0</v>
      </c>
      <c r="Z152" s="42" t="str">
        <f t="shared" si="14"/>
        <v>jeudi</v>
      </c>
      <c r="AA152" s="42" t="str">
        <f t="shared" si="15"/>
        <v>25</v>
      </c>
      <c r="AB152" s="42" t="str">
        <f t="shared" si="16"/>
        <v>04</v>
      </c>
      <c r="AC152" s="42" t="str">
        <f t="shared" si="17"/>
        <v>2024</v>
      </c>
    </row>
    <row r="153" spans="1:29" x14ac:dyDescent="0.25">
      <c r="A153" s="41">
        <v>45407</v>
      </c>
      <c r="B153" s="42" t="s">
        <v>192</v>
      </c>
      <c r="C153" s="42" t="s">
        <v>9</v>
      </c>
      <c r="D153" s="42" t="s">
        <v>384</v>
      </c>
      <c r="E153" s="43"/>
      <c r="F153" s="44" t="s">
        <v>504</v>
      </c>
      <c r="G153" s="41"/>
      <c r="H153" s="42" t="s">
        <v>626</v>
      </c>
      <c r="I153" s="42" t="s">
        <v>673</v>
      </c>
      <c r="J153" s="45" t="s">
        <v>690</v>
      </c>
      <c r="K153" s="46"/>
      <c r="L153" s="45" t="s">
        <v>707</v>
      </c>
      <c r="M153" s="42" t="s">
        <v>737</v>
      </c>
      <c r="N153" s="46" t="s">
        <v>779</v>
      </c>
      <c r="O153" s="42" t="s">
        <v>39</v>
      </c>
      <c r="P153" s="42" t="s">
        <v>880</v>
      </c>
      <c r="Q153" s="45">
        <v>0</v>
      </c>
      <c r="R153" s="45">
        <v>10</v>
      </c>
      <c r="S153" s="42">
        <v>10</v>
      </c>
      <c r="T153" s="47"/>
      <c r="U153" s="45">
        <v>1</v>
      </c>
      <c r="V153" s="42" t="s">
        <v>905</v>
      </c>
      <c r="W153" s="42">
        <f t="shared" si="12"/>
        <v>1</v>
      </c>
      <c r="X153" s="42">
        <f t="shared" si="13"/>
        <v>1</v>
      </c>
      <c r="Y153" s="48">
        <f>Data_Base_Normalisation[[#This Row],[Normalisation Total]]-Data_Base_Normalisation[[#This Row],[Normalisation exécutée]]</f>
        <v>0</v>
      </c>
      <c r="Z153" s="42" t="str">
        <f t="shared" si="14"/>
        <v>jeudi</v>
      </c>
      <c r="AA153" s="42" t="str">
        <f t="shared" si="15"/>
        <v>25</v>
      </c>
      <c r="AB153" s="42" t="str">
        <f t="shared" si="16"/>
        <v>04</v>
      </c>
      <c r="AC153" s="42" t="str">
        <f t="shared" si="17"/>
        <v>2024</v>
      </c>
    </row>
    <row r="154" spans="1:29" x14ac:dyDescent="0.25">
      <c r="A154" s="41">
        <v>45407</v>
      </c>
      <c r="B154" s="42" t="s">
        <v>193</v>
      </c>
      <c r="C154" s="42" t="s">
        <v>908</v>
      </c>
      <c r="D154" s="42" t="s">
        <v>385</v>
      </c>
      <c r="E154" s="43"/>
      <c r="F154" s="44" t="s">
        <v>497</v>
      </c>
      <c r="G154" s="41"/>
      <c r="H154" s="42"/>
      <c r="I154" s="42" t="s">
        <v>667</v>
      </c>
      <c r="J154" s="45" t="s">
        <v>685</v>
      </c>
      <c r="K154" s="46"/>
      <c r="L154" s="45"/>
      <c r="M154" s="42" t="s">
        <v>719</v>
      </c>
      <c r="N154" s="46">
        <v>45407</v>
      </c>
      <c r="O154" s="42" t="s">
        <v>751</v>
      </c>
      <c r="P154" s="42" t="s">
        <v>881</v>
      </c>
      <c r="Q154" s="45" t="s">
        <v>899</v>
      </c>
      <c r="R154" s="45">
        <v>0</v>
      </c>
      <c r="S154" s="42"/>
      <c r="T154" s="47"/>
      <c r="U154" s="45">
        <v>1</v>
      </c>
      <c r="V154" s="42" t="s">
        <v>905</v>
      </c>
      <c r="W154" s="42">
        <f t="shared" si="12"/>
        <v>1</v>
      </c>
      <c r="X154" s="42">
        <f t="shared" si="13"/>
        <v>1</v>
      </c>
      <c r="Y154" s="48">
        <f>Data_Base_Normalisation[[#This Row],[Normalisation Total]]-Data_Base_Normalisation[[#This Row],[Normalisation exécutée]]</f>
        <v>0</v>
      </c>
      <c r="Z154" s="42" t="str">
        <f t="shared" si="14"/>
        <v>jeudi</v>
      </c>
      <c r="AA154" s="42" t="str">
        <f t="shared" si="15"/>
        <v>25</v>
      </c>
      <c r="AB154" s="42" t="str">
        <f t="shared" si="16"/>
        <v>04</v>
      </c>
      <c r="AC154" s="42" t="str">
        <f t="shared" si="17"/>
        <v>2024</v>
      </c>
    </row>
    <row r="155" spans="1:29" x14ac:dyDescent="0.25">
      <c r="A155" s="41">
        <v>45408</v>
      </c>
      <c r="B155" s="42" t="s">
        <v>194</v>
      </c>
      <c r="C155" s="42" t="s">
        <v>1</v>
      </c>
      <c r="D155" s="42" t="s">
        <v>386</v>
      </c>
      <c r="E155" s="43"/>
      <c r="F155" s="44" t="s">
        <v>497</v>
      </c>
      <c r="G155" s="41"/>
      <c r="H155" s="42" t="s">
        <v>627</v>
      </c>
      <c r="I155" s="42" t="s">
        <v>666</v>
      </c>
      <c r="J155" s="45" t="s">
        <v>685</v>
      </c>
      <c r="K155" s="46">
        <v>45399</v>
      </c>
      <c r="L155" s="45"/>
      <c r="M155" s="42"/>
      <c r="N155" s="46"/>
      <c r="O155" s="42"/>
      <c r="P155" s="42"/>
      <c r="Q155" s="45"/>
      <c r="R155" s="45"/>
      <c r="S155" s="42"/>
      <c r="T155" s="47"/>
      <c r="U155" s="45"/>
      <c r="V155" s="42"/>
      <c r="W155" s="42">
        <f t="shared" si="12"/>
        <v>1</v>
      </c>
      <c r="X155" s="42">
        <f t="shared" si="13"/>
        <v>0</v>
      </c>
      <c r="Y155" s="48">
        <f>Data_Base_Normalisation[[#This Row],[Normalisation Total]]-Data_Base_Normalisation[[#This Row],[Normalisation exécutée]]</f>
        <v>1</v>
      </c>
      <c r="Z155" s="42" t="str">
        <f t="shared" si="14"/>
        <v>vendredi</v>
      </c>
      <c r="AA155" s="42" t="str">
        <f t="shared" si="15"/>
        <v>26</v>
      </c>
      <c r="AB155" s="42" t="str">
        <f t="shared" si="16"/>
        <v>04</v>
      </c>
      <c r="AC155" s="42" t="str">
        <f t="shared" si="17"/>
        <v>2024</v>
      </c>
    </row>
    <row r="156" spans="1:29" x14ac:dyDescent="0.25">
      <c r="A156" s="41">
        <v>45408</v>
      </c>
      <c r="B156" s="42" t="s">
        <v>195</v>
      </c>
      <c r="C156" s="42" t="s">
        <v>9</v>
      </c>
      <c r="D156" s="42" t="s">
        <v>387</v>
      </c>
      <c r="E156" s="43"/>
      <c r="F156" s="44" t="s">
        <v>497</v>
      </c>
      <c r="G156" s="41"/>
      <c r="H156" s="42" t="s">
        <v>628</v>
      </c>
      <c r="I156" s="42" t="s">
        <v>666</v>
      </c>
      <c r="J156" s="45" t="s">
        <v>685</v>
      </c>
      <c r="K156" s="46"/>
      <c r="L156" s="45"/>
      <c r="M156" s="42" t="s">
        <v>38</v>
      </c>
      <c r="N156" s="46" t="s">
        <v>777</v>
      </c>
      <c r="O156" s="42" t="s">
        <v>766</v>
      </c>
      <c r="P156" s="42" t="s">
        <v>882</v>
      </c>
      <c r="Q156" s="45">
        <v>0</v>
      </c>
      <c r="R156" s="45">
        <v>10</v>
      </c>
      <c r="S156" s="42">
        <v>15</v>
      </c>
      <c r="T156" s="47"/>
      <c r="U156" s="45">
        <v>1</v>
      </c>
      <c r="V156" s="42" t="s">
        <v>905</v>
      </c>
      <c r="W156" s="42">
        <f t="shared" si="12"/>
        <v>1</v>
      </c>
      <c r="X156" s="42">
        <f t="shared" si="13"/>
        <v>1</v>
      </c>
      <c r="Y156" s="48">
        <f>Data_Base_Normalisation[[#This Row],[Normalisation Total]]-Data_Base_Normalisation[[#This Row],[Normalisation exécutée]]</f>
        <v>0</v>
      </c>
      <c r="Z156" s="42" t="str">
        <f t="shared" si="14"/>
        <v>vendredi</v>
      </c>
      <c r="AA156" s="42" t="str">
        <f t="shared" si="15"/>
        <v>26</v>
      </c>
      <c r="AB156" s="42" t="str">
        <f t="shared" si="16"/>
        <v>04</v>
      </c>
      <c r="AC156" s="42" t="str">
        <f t="shared" si="17"/>
        <v>2024</v>
      </c>
    </row>
    <row r="157" spans="1:29" x14ac:dyDescent="0.25">
      <c r="A157" s="41">
        <v>45409</v>
      </c>
      <c r="B157" s="42" t="s">
        <v>196</v>
      </c>
      <c r="C157" s="42" t="s">
        <v>908</v>
      </c>
      <c r="D157" s="42" t="s">
        <v>388</v>
      </c>
      <c r="E157" s="43"/>
      <c r="F157" s="44" t="s">
        <v>499</v>
      </c>
      <c r="G157" s="41"/>
      <c r="H157" s="42" t="s">
        <v>629</v>
      </c>
      <c r="I157" s="42" t="s">
        <v>666</v>
      </c>
      <c r="J157" s="45" t="s">
        <v>685</v>
      </c>
      <c r="K157" s="46"/>
      <c r="L157" s="45" t="s">
        <v>700</v>
      </c>
      <c r="M157" s="42" t="s">
        <v>730</v>
      </c>
      <c r="N157" s="46">
        <v>45414</v>
      </c>
      <c r="O157" s="42" t="s">
        <v>39</v>
      </c>
      <c r="P157" s="42" t="s">
        <v>883</v>
      </c>
      <c r="Q157" s="45">
        <v>1149</v>
      </c>
      <c r="R157" s="45">
        <v>10</v>
      </c>
      <c r="S157" s="42">
        <v>15</v>
      </c>
      <c r="T157" s="47"/>
      <c r="U157" s="45">
        <v>1</v>
      </c>
      <c r="V157" s="42" t="s">
        <v>905</v>
      </c>
      <c r="W157" s="42">
        <f t="shared" si="12"/>
        <v>1</v>
      </c>
      <c r="X157" s="42">
        <f t="shared" si="13"/>
        <v>1</v>
      </c>
      <c r="Y157" s="48">
        <f>Data_Base_Normalisation[[#This Row],[Normalisation Total]]-Data_Base_Normalisation[[#This Row],[Normalisation exécutée]]</f>
        <v>0</v>
      </c>
      <c r="Z157" s="42" t="str">
        <f t="shared" si="14"/>
        <v>samedi</v>
      </c>
      <c r="AA157" s="42" t="str">
        <f t="shared" si="15"/>
        <v>27</v>
      </c>
      <c r="AB157" s="42" t="str">
        <f t="shared" si="16"/>
        <v>04</v>
      </c>
      <c r="AC157" s="42" t="str">
        <f t="shared" si="17"/>
        <v>2024</v>
      </c>
    </row>
    <row r="158" spans="1:29" x14ac:dyDescent="0.25">
      <c r="A158" s="41">
        <v>45410</v>
      </c>
      <c r="B158" s="42" t="s">
        <v>197</v>
      </c>
      <c r="C158" s="42" t="s">
        <v>9</v>
      </c>
      <c r="D158" s="42" t="s">
        <v>389</v>
      </c>
      <c r="E158" s="43"/>
      <c r="F158" s="44" t="s">
        <v>499</v>
      </c>
      <c r="G158" s="41"/>
      <c r="H158" s="42"/>
      <c r="I158" s="42" t="s">
        <v>667</v>
      </c>
      <c r="J158" s="45" t="s">
        <v>685</v>
      </c>
      <c r="K158" s="46"/>
      <c r="L158" s="45" t="s">
        <v>700</v>
      </c>
      <c r="M158" s="42" t="s">
        <v>730</v>
      </c>
      <c r="N158" s="46" t="s">
        <v>780</v>
      </c>
      <c r="O158" s="42" t="s">
        <v>39</v>
      </c>
      <c r="P158" s="42" t="s">
        <v>884</v>
      </c>
      <c r="Q158" s="45" t="s">
        <v>899</v>
      </c>
      <c r="R158" s="45">
        <v>16650</v>
      </c>
      <c r="S158" s="42"/>
      <c r="T158" s="47"/>
      <c r="U158" s="45">
        <v>1</v>
      </c>
      <c r="V158" s="42" t="s">
        <v>905</v>
      </c>
      <c r="W158" s="42">
        <f t="shared" si="12"/>
        <v>1</v>
      </c>
      <c r="X158" s="42">
        <f t="shared" si="13"/>
        <v>1</v>
      </c>
      <c r="Y158" s="48">
        <f>Data_Base_Normalisation[[#This Row],[Normalisation Total]]-Data_Base_Normalisation[[#This Row],[Normalisation exécutée]]</f>
        <v>0</v>
      </c>
      <c r="Z158" s="42" t="str">
        <f t="shared" si="14"/>
        <v>dimanche</v>
      </c>
      <c r="AA158" s="42" t="str">
        <f t="shared" si="15"/>
        <v>28</v>
      </c>
      <c r="AB158" s="42" t="str">
        <f t="shared" si="16"/>
        <v>04</v>
      </c>
      <c r="AC158" s="42" t="str">
        <f t="shared" si="17"/>
        <v>2024</v>
      </c>
    </row>
    <row r="159" spans="1:29" x14ac:dyDescent="0.25">
      <c r="A159" s="41">
        <v>45412</v>
      </c>
      <c r="B159" s="42" t="s">
        <v>198</v>
      </c>
      <c r="C159" s="42" t="s">
        <v>9</v>
      </c>
      <c r="D159" s="42" t="s">
        <v>390</v>
      </c>
      <c r="E159" s="43"/>
      <c r="F159" s="44" t="s">
        <v>505</v>
      </c>
      <c r="G159" s="41"/>
      <c r="H159" s="42" t="s">
        <v>630</v>
      </c>
      <c r="I159" s="42" t="s">
        <v>666</v>
      </c>
      <c r="J159" s="45" t="s">
        <v>685</v>
      </c>
      <c r="K159" s="46"/>
      <c r="L159" s="45" t="s">
        <v>703</v>
      </c>
      <c r="M159" s="42" t="s">
        <v>736</v>
      </c>
      <c r="N159" s="46" t="s">
        <v>781</v>
      </c>
      <c r="O159" s="42" t="s">
        <v>767</v>
      </c>
      <c r="P159" s="42" t="s">
        <v>885</v>
      </c>
      <c r="Q159" s="45">
        <v>0</v>
      </c>
      <c r="R159" s="45">
        <v>10</v>
      </c>
      <c r="S159" s="42">
        <v>30</v>
      </c>
      <c r="T159" s="47"/>
      <c r="U159" s="45">
        <v>1</v>
      </c>
      <c r="V159" s="42" t="s">
        <v>905</v>
      </c>
      <c r="W159" s="42">
        <f t="shared" si="12"/>
        <v>1</v>
      </c>
      <c r="X159" s="42">
        <f t="shared" si="13"/>
        <v>1</v>
      </c>
      <c r="Y159" s="48">
        <f>Data_Base_Normalisation[[#This Row],[Normalisation Total]]-Data_Base_Normalisation[[#This Row],[Normalisation exécutée]]</f>
        <v>0</v>
      </c>
      <c r="Z159" s="42" t="str">
        <f t="shared" si="14"/>
        <v>mardi</v>
      </c>
      <c r="AA159" s="42" t="str">
        <f t="shared" si="15"/>
        <v>30</v>
      </c>
      <c r="AB159" s="42" t="str">
        <f t="shared" si="16"/>
        <v>04</v>
      </c>
      <c r="AC159" s="42" t="str">
        <f t="shared" si="17"/>
        <v>2024</v>
      </c>
    </row>
    <row r="160" spans="1:29" x14ac:dyDescent="0.25">
      <c r="A160" s="41">
        <v>45412</v>
      </c>
      <c r="B160" s="42" t="s">
        <v>199</v>
      </c>
      <c r="C160" s="42" t="s">
        <v>908</v>
      </c>
      <c r="D160" s="42" t="s">
        <v>391</v>
      </c>
      <c r="E160" s="43"/>
      <c r="F160" s="44" t="s">
        <v>497</v>
      </c>
      <c r="G160" s="41"/>
      <c r="H160" s="42" t="s">
        <v>631</v>
      </c>
      <c r="I160" s="42" t="s">
        <v>666</v>
      </c>
      <c r="J160" s="45" t="s">
        <v>685</v>
      </c>
      <c r="K160" s="46"/>
      <c r="L160" s="45" t="s">
        <v>710</v>
      </c>
      <c r="M160" s="42" t="s">
        <v>737</v>
      </c>
      <c r="N160" s="46">
        <v>45412</v>
      </c>
      <c r="O160" s="42" t="s">
        <v>765</v>
      </c>
      <c r="P160" s="42" t="s">
        <v>886</v>
      </c>
      <c r="Q160" s="45">
        <v>0</v>
      </c>
      <c r="R160" s="45">
        <v>10</v>
      </c>
      <c r="S160" s="42">
        <v>15</v>
      </c>
      <c r="T160" s="47"/>
      <c r="U160" s="45">
        <v>1</v>
      </c>
      <c r="V160" s="42" t="s">
        <v>905</v>
      </c>
      <c r="W160" s="42">
        <f t="shared" si="12"/>
        <v>1</v>
      </c>
      <c r="X160" s="42">
        <f t="shared" si="13"/>
        <v>1</v>
      </c>
      <c r="Y160" s="48">
        <f>Data_Base_Normalisation[[#This Row],[Normalisation Total]]-Data_Base_Normalisation[[#This Row],[Normalisation exécutée]]</f>
        <v>0</v>
      </c>
      <c r="Z160" s="42" t="str">
        <f t="shared" si="14"/>
        <v>mardi</v>
      </c>
      <c r="AA160" s="42" t="str">
        <f t="shared" si="15"/>
        <v>30</v>
      </c>
      <c r="AB160" s="42" t="str">
        <f t="shared" si="16"/>
        <v>04</v>
      </c>
      <c r="AC160" s="42" t="str">
        <f t="shared" si="17"/>
        <v>2024</v>
      </c>
    </row>
    <row r="161" spans="1:29" x14ac:dyDescent="0.25">
      <c r="A161" s="41">
        <v>45412</v>
      </c>
      <c r="B161" s="42" t="s">
        <v>200</v>
      </c>
      <c r="C161" s="42" t="s">
        <v>908</v>
      </c>
      <c r="D161" s="42" t="s">
        <v>366</v>
      </c>
      <c r="E161" s="43"/>
      <c r="F161" s="44" t="s">
        <v>497</v>
      </c>
      <c r="G161" s="41"/>
      <c r="H161" s="42" t="s">
        <v>632</v>
      </c>
      <c r="I161" s="42" t="s">
        <v>666</v>
      </c>
      <c r="J161" s="45" t="s">
        <v>685</v>
      </c>
      <c r="K161" s="46"/>
      <c r="L161" s="45" t="s">
        <v>703</v>
      </c>
      <c r="M161" s="42" t="s">
        <v>736</v>
      </c>
      <c r="N161" s="46" t="s">
        <v>781</v>
      </c>
      <c r="O161" s="42" t="s">
        <v>767</v>
      </c>
      <c r="P161" s="42" t="s">
        <v>887</v>
      </c>
      <c r="Q161" s="45">
        <v>0</v>
      </c>
      <c r="R161" s="45">
        <v>10</v>
      </c>
      <c r="S161" s="42">
        <v>30</v>
      </c>
      <c r="T161" s="47"/>
      <c r="U161" s="45">
        <v>1</v>
      </c>
      <c r="V161" s="42" t="s">
        <v>905</v>
      </c>
      <c r="W161" s="42">
        <f t="shared" si="12"/>
        <v>1</v>
      </c>
      <c r="X161" s="42">
        <f t="shared" si="13"/>
        <v>1</v>
      </c>
      <c r="Y161" s="48">
        <f>Data_Base_Normalisation[[#This Row],[Normalisation Total]]-Data_Base_Normalisation[[#This Row],[Normalisation exécutée]]</f>
        <v>0</v>
      </c>
      <c r="Z161" s="42" t="str">
        <f t="shared" si="14"/>
        <v>mardi</v>
      </c>
      <c r="AA161" s="42" t="str">
        <f t="shared" si="15"/>
        <v>30</v>
      </c>
      <c r="AB161" s="42" t="str">
        <f t="shared" si="16"/>
        <v>04</v>
      </c>
      <c r="AC161" s="42" t="str">
        <f t="shared" si="17"/>
        <v>2024</v>
      </c>
    </row>
    <row r="162" spans="1:29" x14ac:dyDescent="0.25">
      <c r="A162" s="41">
        <v>45412</v>
      </c>
      <c r="B162" s="42" t="s">
        <v>201</v>
      </c>
      <c r="C162" s="42" t="s">
        <v>9</v>
      </c>
      <c r="D162" s="42" t="s">
        <v>392</v>
      </c>
      <c r="E162" s="43"/>
      <c r="F162" s="44" t="s">
        <v>497</v>
      </c>
      <c r="G162" s="41"/>
      <c r="H162" s="42" t="s">
        <v>633</v>
      </c>
      <c r="I162" s="42" t="s">
        <v>666</v>
      </c>
      <c r="J162" s="45" t="s">
        <v>685</v>
      </c>
      <c r="K162" s="46"/>
      <c r="L162" s="45" t="s">
        <v>700</v>
      </c>
      <c r="M162" s="42" t="s">
        <v>730</v>
      </c>
      <c r="N162" s="46">
        <v>45412</v>
      </c>
      <c r="O162" s="42" t="s">
        <v>39</v>
      </c>
      <c r="P162" s="42" t="s">
        <v>888</v>
      </c>
      <c r="Q162" s="45">
        <v>0</v>
      </c>
      <c r="R162" s="45">
        <v>10</v>
      </c>
      <c r="S162" s="42">
        <v>15</v>
      </c>
      <c r="T162" s="47"/>
      <c r="U162" s="45">
        <v>1</v>
      </c>
      <c r="V162" s="42" t="s">
        <v>905</v>
      </c>
      <c r="W162" s="42">
        <f t="shared" si="12"/>
        <v>1</v>
      </c>
      <c r="X162" s="42">
        <f t="shared" si="13"/>
        <v>1</v>
      </c>
      <c r="Y162" s="48">
        <f>Data_Base_Normalisation[[#This Row],[Normalisation Total]]-Data_Base_Normalisation[[#This Row],[Normalisation exécutée]]</f>
        <v>0</v>
      </c>
      <c r="Z162" s="42" t="str">
        <f t="shared" si="14"/>
        <v>mardi</v>
      </c>
      <c r="AA162" s="42" t="str">
        <f t="shared" si="15"/>
        <v>30</v>
      </c>
      <c r="AB162" s="42" t="str">
        <f t="shared" si="16"/>
        <v>04</v>
      </c>
      <c r="AC162" s="42" t="str">
        <f t="shared" si="17"/>
        <v>2024</v>
      </c>
    </row>
    <row r="163" spans="1:29" x14ac:dyDescent="0.25">
      <c r="A163" s="41">
        <v>45414</v>
      </c>
      <c r="B163" s="42" t="s">
        <v>202</v>
      </c>
      <c r="C163" s="42" t="s">
        <v>908</v>
      </c>
      <c r="D163" s="42" t="s">
        <v>393</v>
      </c>
      <c r="E163" s="43"/>
      <c r="F163" s="44" t="s">
        <v>497</v>
      </c>
      <c r="G163" s="41"/>
      <c r="H163" s="42" t="s">
        <v>634</v>
      </c>
      <c r="I163" s="42" t="s">
        <v>666</v>
      </c>
      <c r="J163" s="45" t="s">
        <v>685</v>
      </c>
      <c r="K163" s="46">
        <v>45399</v>
      </c>
      <c r="L163" s="45" t="s">
        <v>700</v>
      </c>
      <c r="M163" s="42" t="s">
        <v>730</v>
      </c>
      <c r="N163" s="46" t="s">
        <v>782</v>
      </c>
      <c r="O163" s="42" t="s">
        <v>39</v>
      </c>
      <c r="P163" s="42" t="s">
        <v>889</v>
      </c>
      <c r="Q163" s="45">
        <v>0</v>
      </c>
      <c r="R163" s="45">
        <v>10</v>
      </c>
      <c r="S163" s="42">
        <v>60</v>
      </c>
      <c r="T163" s="47"/>
      <c r="U163" s="45">
        <v>1</v>
      </c>
      <c r="V163" s="42" t="s">
        <v>905</v>
      </c>
      <c r="W163" s="42">
        <f t="shared" si="12"/>
        <v>1</v>
      </c>
      <c r="X163" s="42">
        <f t="shared" si="13"/>
        <v>1</v>
      </c>
      <c r="Y163" s="48">
        <f>Data_Base_Normalisation[[#This Row],[Normalisation Total]]-Data_Base_Normalisation[[#This Row],[Normalisation exécutée]]</f>
        <v>0</v>
      </c>
      <c r="Z163" s="42" t="str">
        <f t="shared" si="14"/>
        <v>jeudi</v>
      </c>
      <c r="AA163" s="42" t="str">
        <f t="shared" si="15"/>
        <v>02</v>
      </c>
      <c r="AB163" s="42" t="str">
        <f t="shared" si="16"/>
        <v>05</v>
      </c>
      <c r="AC163" s="42" t="str">
        <f t="shared" si="17"/>
        <v>2024</v>
      </c>
    </row>
    <row r="164" spans="1:29" x14ac:dyDescent="0.25">
      <c r="A164" s="41">
        <v>45414</v>
      </c>
      <c r="B164" s="42" t="s">
        <v>203</v>
      </c>
      <c r="C164" s="42" t="s">
        <v>908</v>
      </c>
      <c r="D164" s="42" t="s">
        <v>394</v>
      </c>
      <c r="E164" s="43"/>
      <c r="F164" s="44" t="s">
        <v>497</v>
      </c>
      <c r="G164" s="41"/>
      <c r="H164" s="42" t="s">
        <v>635</v>
      </c>
      <c r="I164" s="42" t="s">
        <v>666</v>
      </c>
      <c r="J164" s="45" t="s">
        <v>685</v>
      </c>
      <c r="K164" s="46"/>
      <c r="L164" s="45" t="s">
        <v>700</v>
      </c>
      <c r="M164" s="42" t="s">
        <v>730</v>
      </c>
      <c r="N164" s="46">
        <v>45414</v>
      </c>
      <c r="O164" s="42" t="s">
        <v>39</v>
      </c>
      <c r="P164" s="42" t="s">
        <v>883</v>
      </c>
      <c r="Q164" s="45">
        <v>0</v>
      </c>
      <c r="R164" s="45">
        <v>10</v>
      </c>
      <c r="S164" s="42">
        <v>30</v>
      </c>
      <c r="T164" s="47"/>
      <c r="U164" s="45">
        <v>1</v>
      </c>
      <c r="V164" s="42" t="s">
        <v>905</v>
      </c>
      <c r="W164" s="42">
        <f t="shared" si="12"/>
        <v>1</v>
      </c>
      <c r="X164" s="42">
        <f t="shared" si="13"/>
        <v>1</v>
      </c>
      <c r="Y164" s="48">
        <f>Data_Base_Normalisation[[#This Row],[Normalisation Total]]-Data_Base_Normalisation[[#This Row],[Normalisation exécutée]]</f>
        <v>0</v>
      </c>
      <c r="Z164" s="42" t="str">
        <f t="shared" si="14"/>
        <v>jeudi</v>
      </c>
      <c r="AA164" s="42" t="str">
        <f t="shared" si="15"/>
        <v>02</v>
      </c>
      <c r="AB164" s="42" t="str">
        <f t="shared" si="16"/>
        <v>05</v>
      </c>
      <c r="AC164" s="42" t="str">
        <f t="shared" si="17"/>
        <v>2024</v>
      </c>
    </row>
    <row r="165" spans="1:29" x14ac:dyDescent="0.25">
      <c r="A165" s="41">
        <v>45418</v>
      </c>
      <c r="B165" s="42" t="s">
        <v>204</v>
      </c>
      <c r="C165" s="42" t="s">
        <v>908</v>
      </c>
      <c r="D165" s="42" t="s">
        <v>395</v>
      </c>
      <c r="E165" s="43"/>
      <c r="F165" s="44" t="s">
        <v>498</v>
      </c>
      <c r="G165" s="41"/>
      <c r="H165" s="42" t="s">
        <v>636</v>
      </c>
      <c r="I165" s="42" t="s">
        <v>675</v>
      </c>
      <c r="J165" s="45" t="s">
        <v>692</v>
      </c>
      <c r="K165" s="46">
        <v>45399</v>
      </c>
      <c r="L165" s="45" t="s">
        <v>700</v>
      </c>
      <c r="M165" s="42" t="s">
        <v>730</v>
      </c>
      <c r="N165" s="46"/>
      <c r="O165" s="42" t="s">
        <v>39</v>
      </c>
      <c r="P165" s="42"/>
      <c r="Q165" s="45"/>
      <c r="R165" s="45"/>
      <c r="S165" s="42"/>
      <c r="T165" s="47"/>
      <c r="U165" s="45"/>
      <c r="V165" s="42"/>
      <c r="W165" s="42">
        <f t="shared" si="12"/>
        <v>1</v>
      </c>
      <c r="X165" s="42">
        <f t="shared" si="13"/>
        <v>0</v>
      </c>
      <c r="Y165" s="48">
        <f>Data_Base_Normalisation[[#This Row],[Normalisation Total]]-Data_Base_Normalisation[[#This Row],[Normalisation exécutée]]</f>
        <v>1</v>
      </c>
      <c r="Z165" s="42" t="str">
        <f t="shared" si="14"/>
        <v>lundi</v>
      </c>
      <c r="AA165" s="42" t="str">
        <f t="shared" si="15"/>
        <v>06</v>
      </c>
      <c r="AB165" s="42" t="str">
        <f t="shared" si="16"/>
        <v>05</v>
      </c>
      <c r="AC165" s="42" t="str">
        <f t="shared" si="17"/>
        <v>2024</v>
      </c>
    </row>
    <row r="166" spans="1:29" x14ac:dyDescent="0.25">
      <c r="A166" s="41">
        <v>45418</v>
      </c>
      <c r="B166" s="42" t="s">
        <v>205</v>
      </c>
      <c r="C166" s="42" t="s">
        <v>908</v>
      </c>
      <c r="D166" s="42" t="s">
        <v>396</v>
      </c>
      <c r="E166" s="43"/>
      <c r="F166" s="44" t="s">
        <v>499</v>
      </c>
      <c r="G166" s="41"/>
      <c r="H166" s="42" t="s">
        <v>637</v>
      </c>
      <c r="I166" s="42" t="s">
        <v>667</v>
      </c>
      <c r="J166" s="45" t="s">
        <v>685</v>
      </c>
      <c r="K166" s="46">
        <v>45399</v>
      </c>
      <c r="L166" s="45" t="s">
        <v>698</v>
      </c>
      <c r="M166" s="42" t="s">
        <v>738</v>
      </c>
      <c r="N166" s="46" t="s">
        <v>783</v>
      </c>
      <c r="O166" s="42" t="s">
        <v>768</v>
      </c>
      <c r="P166" s="42" t="s">
        <v>890</v>
      </c>
      <c r="Q166" s="45">
        <v>3089</v>
      </c>
      <c r="R166" s="45">
        <v>2066</v>
      </c>
      <c r="S166" s="42">
        <v>10</v>
      </c>
      <c r="T166" s="47"/>
      <c r="U166" s="45">
        <v>1</v>
      </c>
      <c r="V166" s="42" t="s">
        <v>904</v>
      </c>
      <c r="W166" s="42">
        <f t="shared" si="12"/>
        <v>1</v>
      </c>
      <c r="X166" s="42">
        <f t="shared" si="13"/>
        <v>1</v>
      </c>
      <c r="Y166" s="48">
        <f>Data_Base_Normalisation[[#This Row],[Normalisation Total]]-Data_Base_Normalisation[[#This Row],[Normalisation exécutée]]</f>
        <v>0</v>
      </c>
      <c r="Z166" s="42" t="str">
        <f t="shared" si="14"/>
        <v>lundi</v>
      </c>
      <c r="AA166" s="42" t="str">
        <f t="shared" si="15"/>
        <v>06</v>
      </c>
      <c r="AB166" s="42" t="str">
        <f t="shared" si="16"/>
        <v>05</v>
      </c>
      <c r="AC166" s="42" t="str">
        <f t="shared" si="17"/>
        <v>2024</v>
      </c>
    </row>
    <row r="167" spans="1:29" x14ac:dyDescent="0.25">
      <c r="A167" s="41">
        <v>45419</v>
      </c>
      <c r="B167" s="42" t="s">
        <v>206</v>
      </c>
      <c r="C167" s="42" t="s">
        <v>908</v>
      </c>
      <c r="D167" s="42" t="s">
        <v>379</v>
      </c>
      <c r="E167" s="43"/>
      <c r="F167" s="44" t="s">
        <v>497</v>
      </c>
      <c r="G167" s="41"/>
      <c r="H167" s="42" t="s">
        <v>513</v>
      </c>
      <c r="I167" s="42" t="s">
        <v>666</v>
      </c>
      <c r="J167" s="45" t="s">
        <v>685</v>
      </c>
      <c r="K167" s="46">
        <v>45399</v>
      </c>
      <c r="L167" s="45"/>
      <c r="M167" s="42"/>
      <c r="N167" s="46"/>
      <c r="O167" s="42"/>
      <c r="P167" s="42"/>
      <c r="Q167" s="45"/>
      <c r="R167" s="45"/>
      <c r="S167" s="42"/>
      <c r="T167" s="47"/>
      <c r="U167" s="45"/>
      <c r="V167" s="42"/>
      <c r="W167" s="42">
        <f t="shared" si="12"/>
        <v>1</v>
      </c>
      <c r="X167" s="42">
        <f t="shared" si="13"/>
        <v>0</v>
      </c>
      <c r="Y167" s="48">
        <f>Data_Base_Normalisation[[#This Row],[Normalisation Total]]-Data_Base_Normalisation[[#This Row],[Normalisation exécutée]]</f>
        <v>1</v>
      </c>
      <c r="Z167" s="42" t="str">
        <f t="shared" si="14"/>
        <v>mardi</v>
      </c>
      <c r="AA167" s="42" t="str">
        <f t="shared" si="15"/>
        <v>07</v>
      </c>
      <c r="AB167" s="42" t="str">
        <f t="shared" si="16"/>
        <v>05</v>
      </c>
      <c r="AC167" s="42" t="str">
        <f t="shared" si="17"/>
        <v>2024</v>
      </c>
    </row>
    <row r="168" spans="1:29" x14ac:dyDescent="0.25">
      <c r="A168" s="41">
        <v>45419</v>
      </c>
      <c r="B168" s="42" t="s">
        <v>207</v>
      </c>
      <c r="C168" s="42" t="s">
        <v>1</v>
      </c>
      <c r="D168" s="42" t="s">
        <v>397</v>
      </c>
      <c r="E168" s="43"/>
      <c r="F168" s="44" t="s">
        <v>497</v>
      </c>
      <c r="G168" s="41"/>
      <c r="H168" s="42" t="s">
        <v>638</v>
      </c>
      <c r="I168" s="42" t="s">
        <v>668</v>
      </c>
      <c r="J168" s="45" t="s">
        <v>686</v>
      </c>
      <c r="K168" s="46">
        <v>45399</v>
      </c>
      <c r="L168" s="45"/>
      <c r="M168" s="42"/>
      <c r="N168" s="46"/>
      <c r="O168" s="42"/>
      <c r="P168" s="42"/>
      <c r="Q168" s="45"/>
      <c r="R168" s="45"/>
      <c r="S168" s="42"/>
      <c r="T168" s="47"/>
      <c r="U168" s="45"/>
      <c r="V168" s="42"/>
      <c r="W168" s="42">
        <f t="shared" si="12"/>
        <v>1</v>
      </c>
      <c r="X168" s="42">
        <f t="shared" si="13"/>
        <v>0</v>
      </c>
      <c r="Y168" s="48">
        <f>Data_Base_Normalisation[[#This Row],[Normalisation Total]]-Data_Base_Normalisation[[#This Row],[Normalisation exécutée]]</f>
        <v>1</v>
      </c>
      <c r="Z168" s="42" t="str">
        <f t="shared" si="14"/>
        <v>mardi</v>
      </c>
      <c r="AA168" s="42" t="str">
        <f t="shared" si="15"/>
        <v>07</v>
      </c>
      <c r="AB168" s="42" t="str">
        <f t="shared" si="16"/>
        <v>05</v>
      </c>
      <c r="AC168" s="42" t="str">
        <f t="shared" si="17"/>
        <v>2024</v>
      </c>
    </row>
    <row r="169" spans="1:29" x14ac:dyDescent="0.25">
      <c r="A169" s="41">
        <v>45419</v>
      </c>
      <c r="B169" s="42" t="s">
        <v>40</v>
      </c>
      <c r="C169" s="42" t="s">
        <v>908</v>
      </c>
      <c r="D169" s="42" t="s">
        <v>398</v>
      </c>
      <c r="E169" s="43"/>
      <c r="F169" s="44" t="s">
        <v>497</v>
      </c>
      <c r="G169" s="41"/>
      <c r="H169" s="42" t="s">
        <v>639</v>
      </c>
      <c r="I169" s="42" t="s">
        <v>668</v>
      </c>
      <c r="J169" s="45" t="s">
        <v>686</v>
      </c>
      <c r="K169" s="46">
        <v>45399</v>
      </c>
      <c r="L169" s="45"/>
      <c r="M169" s="42" t="s">
        <v>739</v>
      </c>
      <c r="N169" s="46" t="s">
        <v>783</v>
      </c>
      <c r="O169" s="42" t="s">
        <v>769</v>
      </c>
      <c r="P169" s="42" t="s">
        <v>465</v>
      </c>
      <c r="Q169" s="45"/>
      <c r="R169" s="45"/>
      <c r="S169" s="42"/>
      <c r="T169" s="47"/>
      <c r="U169" s="45">
        <v>1</v>
      </c>
      <c r="V169" s="42" t="s">
        <v>904</v>
      </c>
      <c r="W169" s="42">
        <f t="shared" si="12"/>
        <v>1</v>
      </c>
      <c r="X169" s="42">
        <f t="shared" si="13"/>
        <v>1</v>
      </c>
      <c r="Y169" s="48">
        <f>Data_Base_Normalisation[[#This Row],[Normalisation Total]]-Data_Base_Normalisation[[#This Row],[Normalisation exécutée]]</f>
        <v>0</v>
      </c>
      <c r="Z169" s="42" t="str">
        <f t="shared" si="14"/>
        <v>mardi</v>
      </c>
      <c r="AA169" s="42" t="str">
        <f t="shared" si="15"/>
        <v>07</v>
      </c>
      <c r="AB169" s="42" t="str">
        <f t="shared" si="16"/>
        <v>05</v>
      </c>
      <c r="AC169" s="42" t="str">
        <f t="shared" si="17"/>
        <v>2024</v>
      </c>
    </row>
    <row r="170" spans="1:29" x14ac:dyDescent="0.25">
      <c r="A170" s="41">
        <v>45419</v>
      </c>
      <c r="B170" s="42" t="s">
        <v>208</v>
      </c>
      <c r="C170" s="42" t="s">
        <v>908</v>
      </c>
      <c r="D170" s="42" t="s">
        <v>399</v>
      </c>
      <c r="E170" s="43"/>
      <c r="F170" s="44" t="s">
        <v>497</v>
      </c>
      <c r="G170" s="41"/>
      <c r="H170" s="42" t="s">
        <v>640</v>
      </c>
      <c r="I170" s="42" t="s">
        <v>668</v>
      </c>
      <c r="J170" s="45" t="s">
        <v>686</v>
      </c>
      <c r="K170" s="46">
        <v>45399</v>
      </c>
      <c r="L170" s="45"/>
      <c r="M170" s="42" t="s">
        <v>739</v>
      </c>
      <c r="N170" s="46" t="s">
        <v>783</v>
      </c>
      <c r="O170" s="42" t="s">
        <v>769</v>
      </c>
      <c r="P170" s="42" t="s">
        <v>466</v>
      </c>
      <c r="Q170" s="45"/>
      <c r="R170" s="45"/>
      <c r="S170" s="42"/>
      <c r="T170" s="47"/>
      <c r="U170" s="45">
        <v>1</v>
      </c>
      <c r="V170" s="42" t="s">
        <v>904</v>
      </c>
      <c r="W170" s="42">
        <f t="shared" si="12"/>
        <v>1</v>
      </c>
      <c r="X170" s="42">
        <f t="shared" si="13"/>
        <v>1</v>
      </c>
      <c r="Y170" s="48">
        <f>Data_Base_Normalisation[[#This Row],[Normalisation Total]]-Data_Base_Normalisation[[#This Row],[Normalisation exécutée]]</f>
        <v>0</v>
      </c>
      <c r="Z170" s="42" t="str">
        <f t="shared" si="14"/>
        <v>mardi</v>
      </c>
      <c r="AA170" s="42" t="str">
        <f t="shared" si="15"/>
        <v>07</v>
      </c>
      <c r="AB170" s="42" t="str">
        <f t="shared" si="16"/>
        <v>05</v>
      </c>
      <c r="AC170" s="42" t="str">
        <f t="shared" si="17"/>
        <v>2024</v>
      </c>
    </row>
    <row r="171" spans="1:29" x14ac:dyDescent="0.25">
      <c r="A171" s="41">
        <v>45419</v>
      </c>
      <c r="B171" s="42" t="s">
        <v>208</v>
      </c>
      <c r="C171" s="42" t="s">
        <v>908</v>
      </c>
      <c r="D171" s="42" t="s">
        <v>400</v>
      </c>
      <c r="E171" s="43"/>
      <c r="F171" s="44" t="s">
        <v>497</v>
      </c>
      <c r="G171" s="41"/>
      <c r="H171" s="42" t="s">
        <v>640</v>
      </c>
      <c r="I171" s="42" t="s">
        <v>668</v>
      </c>
      <c r="J171" s="45" t="s">
        <v>686</v>
      </c>
      <c r="K171" s="46">
        <v>45399</v>
      </c>
      <c r="L171" s="45"/>
      <c r="M171" s="42" t="s">
        <v>739</v>
      </c>
      <c r="N171" s="46" t="s">
        <v>783</v>
      </c>
      <c r="O171" s="42" t="s">
        <v>769</v>
      </c>
      <c r="P171" s="42" t="s">
        <v>467</v>
      </c>
      <c r="Q171" s="45"/>
      <c r="R171" s="45"/>
      <c r="S171" s="42"/>
      <c r="T171" s="47"/>
      <c r="U171" s="45">
        <v>1</v>
      </c>
      <c r="V171" s="42" t="s">
        <v>904</v>
      </c>
      <c r="W171" s="42">
        <f t="shared" si="12"/>
        <v>1</v>
      </c>
      <c r="X171" s="42">
        <f t="shared" si="13"/>
        <v>1</v>
      </c>
      <c r="Y171" s="48">
        <f>Data_Base_Normalisation[[#This Row],[Normalisation Total]]-Data_Base_Normalisation[[#This Row],[Normalisation exécutée]]</f>
        <v>0</v>
      </c>
      <c r="Z171" s="42" t="str">
        <f t="shared" si="14"/>
        <v>mardi</v>
      </c>
      <c r="AA171" s="42" t="str">
        <f t="shared" si="15"/>
        <v>07</v>
      </c>
      <c r="AB171" s="42" t="str">
        <f t="shared" si="16"/>
        <v>05</v>
      </c>
      <c r="AC171" s="42" t="str">
        <f t="shared" si="17"/>
        <v>2024</v>
      </c>
    </row>
    <row r="172" spans="1:29" x14ac:dyDescent="0.25">
      <c r="A172" s="41">
        <v>45419</v>
      </c>
      <c r="B172" s="42" t="s">
        <v>209</v>
      </c>
      <c r="C172" s="42" t="s">
        <v>908</v>
      </c>
      <c r="D172" s="42" t="s">
        <v>401</v>
      </c>
      <c r="E172" s="43"/>
      <c r="F172" s="44" t="s">
        <v>499</v>
      </c>
      <c r="G172" s="41"/>
      <c r="H172" s="42" t="s">
        <v>641</v>
      </c>
      <c r="I172" s="42" t="s">
        <v>667</v>
      </c>
      <c r="J172" s="45" t="s">
        <v>693</v>
      </c>
      <c r="K172" s="46">
        <v>45399</v>
      </c>
      <c r="L172" s="45"/>
      <c r="M172" s="42"/>
      <c r="N172" s="46"/>
      <c r="O172" s="42"/>
      <c r="P172" s="42"/>
      <c r="Q172" s="45"/>
      <c r="R172" s="45"/>
      <c r="S172" s="42"/>
      <c r="T172" s="47"/>
      <c r="U172" s="45"/>
      <c r="V172" s="42"/>
      <c r="W172" s="42">
        <f t="shared" si="12"/>
        <v>1</v>
      </c>
      <c r="X172" s="42">
        <f t="shared" si="13"/>
        <v>0</v>
      </c>
      <c r="Y172" s="48">
        <f>Data_Base_Normalisation[[#This Row],[Normalisation Total]]-Data_Base_Normalisation[[#This Row],[Normalisation exécutée]]</f>
        <v>1</v>
      </c>
      <c r="Z172" s="42" t="str">
        <f t="shared" si="14"/>
        <v>mardi</v>
      </c>
      <c r="AA172" s="42" t="str">
        <f t="shared" si="15"/>
        <v>07</v>
      </c>
      <c r="AB172" s="42" t="str">
        <f t="shared" si="16"/>
        <v>05</v>
      </c>
      <c r="AC172" s="42" t="str">
        <f t="shared" si="17"/>
        <v>2024</v>
      </c>
    </row>
    <row r="173" spans="1:29" x14ac:dyDescent="0.25">
      <c r="A173" s="41">
        <v>45419</v>
      </c>
      <c r="B173" s="42" t="s">
        <v>210</v>
      </c>
      <c r="C173" s="42" t="s">
        <v>9</v>
      </c>
      <c r="D173" s="42" t="s">
        <v>402</v>
      </c>
      <c r="E173" s="43"/>
      <c r="F173" s="44" t="s">
        <v>499</v>
      </c>
      <c r="G173" s="41"/>
      <c r="H173" s="42" t="s">
        <v>22</v>
      </c>
      <c r="I173" s="42" t="s">
        <v>667</v>
      </c>
      <c r="J173" s="45" t="s">
        <v>693</v>
      </c>
      <c r="K173" s="46">
        <v>45399</v>
      </c>
      <c r="L173" s="45"/>
      <c r="M173" s="42" t="s">
        <v>721</v>
      </c>
      <c r="N173" s="46" t="s">
        <v>783</v>
      </c>
      <c r="O173" s="42" t="s">
        <v>755</v>
      </c>
      <c r="P173" s="42" t="s">
        <v>891</v>
      </c>
      <c r="Q173" s="45" t="s">
        <v>901</v>
      </c>
      <c r="R173" s="45">
        <v>3079</v>
      </c>
      <c r="S173" s="42">
        <v>30</v>
      </c>
      <c r="T173" s="47"/>
      <c r="U173" s="45">
        <v>1</v>
      </c>
      <c r="V173" s="42" t="s">
        <v>905</v>
      </c>
      <c r="W173" s="42">
        <f t="shared" si="12"/>
        <v>1</v>
      </c>
      <c r="X173" s="42">
        <f t="shared" si="13"/>
        <v>1</v>
      </c>
      <c r="Y173" s="48">
        <f>Data_Base_Normalisation[[#This Row],[Normalisation Total]]-Data_Base_Normalisation[[#This Row],[Normalisation exécutée]]</f>
        <v>0</v>
      </c>
      <c r="Z173" s="42" t="str">
        <f t="shared" si="14"/>
        <v>mardi</v>
      </c>
      <c r="AA173" s="42" t="str">
        <f t="shared" si="15"/>
        <v>07</v>
      </c>
      <c r="AB173" s="42" t="str">
        <f t="shared" si="16"/>
        <v>05</v>
      </c>
      <c r="AC173" s="42" t="str">
        <f t="shared" si="17"/>
        <v>2024</v>
      </c>
    </row>
    <row r="174" spans="1:29" x14ac:dyDescent="0.25">
      <c r="A174" s="41">
        <v>45419</v>
      </c>
      <c r="B174" s="42" t="s">
        <v>211</v>
      </c>
      <c r="C174" s="42" t="s">
        <v>908</v>
      </c>
      <c r="D174" s="42" t="s">
        <v>403</v>
      </c>
      <c r="E174" s="43"/>
      <c r="F174" s="44" t="s">
        <v>497</v>
      </c>
      <c r="G174" s="41"/>
      <c r="H174" s="42" t="s">
        <v>642</v>
      </c>
      <c r="I174" s="42" t="s">
        <v>666</v>
      </c>
      <c r="J174" s="45" t="s">
        <v>693</v>
      </c>
      <c r="K174" s="46">
        <v>45399</v>
      </c>
      <c r="L174" s="45" t="s">
        <v>700</v>
      </c>
      <c r="M174" s="42" t="s">
        <v>736</v>
      </c>
      <c r="N174" s="46" t="s">
        <v>778</v>
      </c>
      <c r="O174" s="42" t="s">
        <v>770</v>
      </c>
      <c r="P174" s="42" t="s">
        <v>892</v>
      </c>
      <c r="Q174" s="45">
        <v>0</v>
      </c>
      <c r="R174" s="45">
        <v>10</v>
      </c>
      <c r="S174" s="42">
        <v>30</v>
      </c>
      <c r="T174" s="47"/>
      <c r="U174" s="45">
        <v>1</v>
      </c>
      <c r="V174" s="42" t="s">
        <v>905</v>
      </c>
      <c r="W174" s="42">
        <f t="shared" si="12"/>
        <v>1</v>
      </c>
      <c r="X174" s="42">
        <f t="shared" si="13"/>
        <v>1</v>
      </c>
      <c r="Y174" s="48">
        <f>Data_Base_Normalisation[[#This Row],[Normalisation Total]]-Data_Base_Normalisation[[#This Row],[Normalisation exécutée]]</f>
        <v>0</v>
      </c>
      <c r="Z174" s="42" t="str">
        <f t="shared" si="14"/>
        <v>mardi</v>
      </c>
      <c r="AA174" s="42" t="str">
        <f t="shared" si="15"/>
        <v>07</v>
      </c>
      <c r="AB174" s="42" t="str">
        <f t="shared" si="16"/>
        <v>05</v>
      </c>
      <c r="AC174" s="42" t="str">
        <f t="shared" si="17"/>
        <v>2024</v>
      </c>
    </row>
    <row r="175" spans="1:29" x14ac:dyDescent="0.25">
      <c r="A175" s="41">
        <v>45419</v>
      </c>
      <c r="B175" s="42" t="s">
        <v>212</v>
      </c>
      <c r="C175" s="42" t="s">
        <v>1</v>
      </c>
      <c r="D175" s="42" t="s">
        <v>404</v>
      </c>
      <c r="E175" s="43"/>
      <c r="F175" s="44" t="s">
        <v>497</v>
      </c>
      <c r="G175" s="41"/>
      <c r="H175" s="42" t="s">
        <v>643</v>
      </c>
      <c r="I175" s="42" t="s">
        <v>676</v>
      </c>
      <c r="J175" s="45" t="s">
        <v>693</v>
      </c>
      <c r="K175" s="46">
        <v>45399</v>
      </c>
      <c r="L175" s="45"/>
      <c r="M175" s="42"/>
      <c r="N175" s="46"/>
      <c r="O175" s="42"/>
      <c r="P175" s="42"/>
      <c r="Q175" s="45"/>
      <c r="R175" s="45"/>
      <c r="S175" s="42"/>
      <c r="T175" s="47"/>
      <c r="U175" s="45"/>
      <c r="V175" s="42"/>
      <c r="W175" s="42">
        <f t="shared" si="12"/>
        <v>1</v>
      </c>
      <c r="X175" s="42">
        <f t="shared" si="13"/>
        <v>0</v>
      </c>
      <c r="Y175" s="48">
        <f>Data_Base_Normalisation[[#This Row],[Normalisation Total]]-Data_Base_Normalisation[[#This Row],[Normalisation exécutée]]</f>
        <v>1</v>
      </c>
      <c r="Z175" s="42" t="str">
        <f t="shared" si="14"/>
        <v>mardi</v>
      </c>
      <c r="AA175" s="42" t="str">
        <f t="shared" si="15"/>
        <v>07</v>
      </c>
      <c r="AB175" s="42" t="str">
        <f t="shared" si="16"/>
        <v>05</v>
      </c>
      <c r="AC175" s="42" t="str">
        <f t="shared" si="17"/>
        <v>2024</v>
      </c>
    </row>
    <row r="176" spans="1:29" x14ac:dyDescent="0.25">
      <c r="A176" s="41">
        <v>45419</v>
      </c>
      <c r="B176" s="42" t="s">
        <v>213</v>
      </c>
      <c r="C176" s="42" t="s">
        <v>1</v>
      </c>
      <c r="D176" s="42" t="s">
        <v>405</v>
      </c>
      <c r="E176" s="43"/>
      <c r="F176" s="44" t="s">
        <v>497</v>
      </c>
      <c r="G176" s="41"/>
      <c r="H176" s="42" t="s">
        <v>644</v>
      </c>
      <c r="I176" s="42" t="s">
        <v>666</v>
      </c>
      <c r="J176" s="45" t="s">
        <v>693</v>
      </c>
      <c r="K176" s="46">
        <v>45399</v>
      </c>
      <c r="L176" s="45"/>
      <c r="M176" s="42"/>
      <c r="N176" s="46"/>
      <c r="O176" s="42"/>
      <c r="P176" s="42"/>
      <c r="Q176" s="45"/>
      <c r="R176" s="45"/>
      <c r="S176" s="42"/>
      <c r="T176" s="47"/>
      <c r="U176" s="45"/>
      <c r="V176" s="42"/>
      <c r="W176" s="42">
        <f t="shared" si="12"/>
        <v>1</v>
      </c>
      <c r="X176" s="42">
        <f t="shared" si="13"/>
        <v>0</v>
      </c>
      <c r="Y176" s="48">
        <f>Data_Base_Normalisation[[#This Row],[Normalisation Total]]-Data_Base_Normalisation[[#This Row],[Normalisation exécutée]]</f>
        <v>1</v>
      </c>
      <c r="Z176" s="42" t="str">
        <f t="shared" si="14"/>
        <v>mardi</v>
      </c>
      <c r="AA176" s="42" t="str">
        <f t="shared" si="15"/>
        <v>07</v>
      </c>
      <c r="AB176" s="42" t="str">
        <f t="shared" si="16"/>
        <v>05</v>
      </c>
      <c r="AC176" s="42" t="str">
        <f t="shared" si="17"/>
        <v>2024</v>
      </c>
    </row>
    <row r="177" spans="1:29" x14ac:dyDescent="0.25">
      <c r="A177" s="41">
        <v>45419</v>
      </c>
      <c r="B177" s="42" t="s">
        <v>214</v>
      </c>
      <c r="C177" s="42" t="s">
        <v>908</v>
      </c>
      <c r="D177" s="42" t="s">
        <v>406</v>
      </c>
      <c r="E177" s="43"/>
      <c r="F177" s="44" t="s">
        <v>497</v>
      </c>
      <c r="G177" s="41"/>
      <c r="H177" s="42" t="s">
        <v>645</v>
      </c>
      <c r="I177" s="42" t="s">
        <v>666</v>
      </c>
      <c r="J177" s="45" t="s">
        <v>693</v>
      </c>
      <c r="K177" s="46">
        <v>45399</v>
      </c>
      <c r="L177" s="45"/>
      <c r="M177" s="42"/>
      <c r="N177" s="46"/>
      <c r="O177" s="42"/>
      <c r="P177" s="42"/>
      <c r="Q177" s="45"/>
      <c r="R177" s="45"/>
      <c r="S177" s="42"/>
      <c r="T177" s="47"/>
      <c r="U177" s="45"/>
      <c r="V177" s="42"/>
      <c r="W177" s="42">
        <f t="shared" si="12"/>
        <v>1</v>
      </c>
      <c r="X177" s="42">
        <f t="shared" si="13"/>
        <v>0</v>
      </c>
      <c r="Y177" s="48">
        <f>Data_Base_Normalisation[[#This Row],[Normalisation Total]]-Data_Base_Normalisation[[#This Row],[Normalisation exécutée]]</f>
        <v>1</v>
      </c>
      <c r="Z177" s="42" t="str">
        <f t="shared" si="14"/>
        <v>mardi</v>
      </c>
      <c r="AA177" s="42" t="str">
        <f t="shared" si="15"/>
        <v>07</v>
      </c>
      <c r="AB177" s="42" t="str">
        <f t="shared" si="16"/>
        <v>05</v>
      </c>
      <c r="AC177" s="42" t="str">
        <f t="shared" si="17"/>
        <v>2024</v>
      </c>
    </row>
    <row r="178" spans="1:29" x14ac:dyDescent="0.25">
      <c r="A178" s="41">
        <v>45419</v>
      </c>
      <c r="B178" s="42" t="s">
        <v>215</v>
      </c>
      <c r="C178" s="42" t="s">
        <v>9</v>
      </c>
      <c r="D178" s="42" t="s">
        <v>407</v>
      </c>
      <c r="E178" s="43"/>
      <c r="F178" s="44" t="s">
        <v>506</v>
      </c>
      <c r="G178" s="41"/>
      <c r="H178" s="42" t="s">
        <v>646</v>
      </c>
      <c r="I178" s="42" t="s">
        <v>677</v>
      </c>
      <c r="J178" s="45" t="s">
        <v>693</v>
      </c>
      <c r="K178" s="46">
        <v>45399</v>
      </c>
      <c r="L178" s="45"/>
      <c r="M178" s="42" t="s">
        <v>718</v>
      </c>
      <c r="N178" s="46" t="s">
        <v>784</v>
      </c>
      <c r="O178" s="42" t="s">
        <v>744</v>
      </c>
      <c r="P178" s="42" t="s">
        <v>474</v>
      </c>
      <c r="Q178" s="45"/>
      <c r="R178" s="45"/>
      <c r="S178" s="42"/>
      <c r="T178" s="47"/>
      <c r="U178" s="45">
        <v>1</v>
      </c>
      <c r="V178" s="42" t="s">
        <v>904</v>
      </c>
      <c r="W178" s="42">
        <f t="shared" si="12"/>
        <v>1</v>
      </c>
      <c r="X178" s="42">
        <f t="shared" si="13"/>
        <v>1</v>
      </c>
      <c r="Y178" s="48">
        <f>Data_Base_Normalisation[[#This Row],[Normalisation Total]]-Data_Base_Normalisation[[#This Row],[Normalisation exécutée]]</f>
        <v>0</v>
      </c>
      <c r="Z178" s="42" t="str">
        <f t="shared" si="14"/>
        <v>mardi</v>
      </c>
      <c r="AA178" s="42" t="str">
        <f t="shared" si="15"/>
        <v>07</v>
      </c>
      <c r="AB178" s="42" t="str">
        <f t="shared" si="16"/>
        <v>05</v>
      </c>
      <c r="AC178" s="42" t="str">
        <f t="shared" si="17"/>
        <v>2024</v>
      </c>
    </row>
    <row r="179" spans="1:29" x14ac:dyDescent="0.25">
      <c r="A179" s="41">
        <v>45419</v>
      </c>
      <c r="B179" s="42" t="s">
        <v>216</v>
      </c>
      <c r="C179" s="42" t="s">
        <v>9</v>
      </c>
      <c r="D179" s="42" t="s">
        <v>408</v>
      </c>
      <c r="E179" s="43"/>
      <c r="F179" s="44" t="s">
        <v>499</v>
      </c>
      <c r="G179" s="41"/>
      <c r="H179" s="42" t="s">
        <v>647</v>
      </c>
      <c r="I179" s="42" t="s">
        <v>667</v>
      </c>
      <c r="J179" s="45" t="s">
        <v>685</v>
      </c>
      <c r="K179" s="46">
        <v>45399</v>
      </c>
      <c r="L179" s="45" t="s">
        <v>713</v>
      </c>
      <c r="M179" s="42" t="s">
        <v>737</v>
      </c>
      <c r="N179" s="46" t="s">
        <v>784</v>
      </c>
      <c r="O179" s="42" t="s">
        <v>765</v>
      </c>
      <c r="P179" s="42" t="s">
        <v>893</v>
      </c>
      <c r="Q179" s="45">
        <v>18259</v>
      </c>
      <c r="R179" s="45">
        <v>10</v>
      </c>
      <c r="S179" s="42">
        <v>30</v>
      </c>
      <c r="T179" s="47"/>
      <c r="U179" s="45">
        <v>1</v>
      </c>
      <c r="V179" s="42" t="s">
        <v>905</v>
      </c>
      <c r="W179" s="42">
        <f t="shared" si="12"/>
        <v>1</v>
      </c>
      <c r="X179" s="42">
        <f t="shared" si="13"/>
        <v>1</v>
      </c>
      <c r="Y179" s="48">
        <f>Data_Base_Normalisation[[#This Row],[Normalisation Total]]-Data_Base_Normalisation[[#This Row],[Normalisation exécutée]]</f>
        <v>0</v>
      </c>
      <c r="Z179" s="42" t="str">
        <f t="shared" si="14"/>
        <v>mardi</v>
      </c>
      <c r="AA179" s="42" t="str">
        <f t="shared" si="15"/>
        <v>07</v>
      </c>
      <c r="AB179" s="42" t="str">
        <f t="shared" si="16"/>
        <v>05</v>
      </c>
      <c r="AC179" s="42" t="str">
        <f t="shared" si="17"/>
        <v>2024</v>
      </c>
    </row>
    <row r="180" spans="1:29" x14ac:dyDescent="0.25">
      <c r="A180" s="41">
        <v>45419</v>
      </c>
      <c r="B180" s="42" t="s">
        <v>217</v>
      </c>
      <c r="C180" s="42" t="s">
        <v>908</v>
      </c>
      <c r="D180" s="42" t="s">
        <v>409</v>
      </c>
      <c r="E180" s="43"/>
      <c r="F180" s="44" t="s">
        <v>497</v>
      </c>
      <c r="G180" s="41"/>
      <c r="H180" s="42" t="s">
        <v>648</v>
      </c>
      <c r="I180" s="42" t="s">
        <v>668</v>
      </c>
      <c r="J180" s="45" t="s">
        <v>686</v>
      </c>
      <c r="K180" s="46">
        <v>45399</v>
      </c>
      <c r="L180" s="45" t="s">
        <v>702</v>
      </c>
      <c r="M180" s="42" t="s">
        <v>719</v>
      </c>
      <c r="N180" s="46" t="s">
        <v>783</v>
      </c>
      <c r="O180" s="42" t="s">
        <v>745</v>
      </c>
      <c r="P180" s="42" t="s">
        <v>476</v>
      </c>
      <c r="Q180" s="45"/>
      <c r="R180" s="45"/>
      <c r="S180" s="42"/>
      <c r="T180" s="47"/>
      <c r="U180" s="45">
        <v>1</v>
      </c>
      <c r="V180" s="42" t="s">
        <v>905</v>
      </c>
      <c r="W180" s="42">
        <f t="shared" si="12"/>
        <v>1</v>
      </c>
      <c r="X180" s="42">
        <f t="shared" si="13"/>
        <v>1</v>
      </c>
      <c r="Y180" s="48">
        <f>Data_Base_Normalisation[[#This Row],[Normalisation Total]]-Data_Base_Normalisation[[#This Row],[Normalisation exécutée]]</f>
        <v>0</v>
      </c>
      <c r="Z180" s="42" t="str">
        <f t="shared" si="14"/>
        <v>mardi</v>
      </c>
      <c r="AA180" s="42" t="str">
        <f t="shared" si="15"/>
        <v>07</v>
      </c>
      <c r="AB180" s="42" t="str">
        <f t="shared" si="16"/>
        <v>05</v>
      </c>
      <c r="AC180" s="42" t="str">
        <f t="shared" si="17"/>
        <v>2024</v>
      </c>
    </row>
    <row r="181" spans="1:29" x14ac:dyDescent="0.25">
      <c r="A181" s="41">
        <v>45419</v>
      </c>
      <c r="B181" s="42" t="s">
        <v>218</v>
      </c>
      <c r="C181" s="42" t="s">
        <v>9</v>
      </c>
      <c r="D181" s="42" t="s">
        <v>410</v>
      </c>
      <c r="E181" s="43"/>
      <c r="F181" s="44" t="s">
        <v>499</v>
      </c>
      <c r="G181" s="41"/>
      <c r="H181" s="42" t="s">
        <v>649</v>
      </c>
      <c r="I181" s="42" t="s">
        <v>668</v>
      </c>
      <c r="J181" s="45" t="s">
        <v>686</v>
      </c>
      <c r="K181" s="46">
        <v>45399</v>
      </c>
      <c r="L181" s="45" t="s">
        <v>702</v>
      </c>
      <c r="M181" s="42" t="s">
        <v>719</v>
      </c>
      <c r="N181" s="46">
        <v>45420</v>
      </c>
      <c r="O181" s="42" t="s">
        <v>745</v>
      </c>
      <c r="P181" s="42" t="s">
        <v>477</v>
      </c>
      <c r="Q181" s="45"/>
      <c r="R181" s="45"/>
      <c r="S181" s="42"/>
      <c r="T181" s="47"/>
      <c r="U181" s="45">
        <v>1</v>
      </c>
      <c r="V181" s="42" t="s">
        <v>905</v>
      </c>
      <c r="W181" s="42">
        <f t="shared" si="12"/>
        <v>1</v>
      </c>
      <c r="X181" s="42">
        <f t="shared" si="13"/>
        <v>1</v>
      </c>
      <c r="Y181" s="48">
        <f>Data_Base_Normalisation[[#This Row],[Normalisation Total]]-Data_Base_Normalisation[[#This Row],[Normalisation exécutée]]</f>
        <v>0</v>
      </c>
      <c r="Z181" s="42" t="str">
        <f t="shared" si="14"/>
        <v>mardi</v>
      </c>
      <c r="AA181" s="42" t="str">
        <f t="shared" si="15"/>
        <v>07</v>
      </c>
      <c r="AB181" s="42" t="str">
        <f t="shared" si="16"/>
        <v>05</v>
      </c>
      <c r="AC181" s="42" t="str">
        <f t="shared" si="17"/>
        <v>2024</v>
      </c>
    </row>
    <row r="182" spans="1:29" x14ac:dyDescent="0.25">
      <c r="A182" s="41">
        <v>45419</v>
      </c>
      <c r="B182" s="42" t="s">
        <v>219</v>
      </c>
      <c r="C182" s="42" t="s">
        <v>1</v>
      </c>
      <c r="D182" s="42" t="s">
        <v>411</v>
      </c>
      <c r="E182" s="43"/>
      <c r="F182" s="44" t="s">
        <v>506</v>
      </c>
      <c r="G182" s="41"/>
      <c r="H182" s="42" t="s">
        <v>650</v>
      </c>
      <c r="I182" s="42" t="s">
        <v>678</v>
      </c>
      <c r="J182" s="45" t="s">
        <v>694</v>
      </c>
      <c r="K182" s="46">
        <v>45399</v>
      </c>
      <c r="L182" s="45" t="s">
        <v>702</v>
      </c>
      <c r="M182" s="42" t="s">
        <v>719</v>
      </c>
      <c r="N182" s="46" t="s">
        <v>784</v>
      </c>
      <c r="O182" s="42" t="s">
        <v>745</v>
      </c>
      <c r="P182" s="42" t="s">
        <v>478</v>
      </c>
      <c r="Q182" s="45"/>
      <c r="R182" s="45"/>
      <c r="S182" s="42"/>
      <c r="T182" s="47"/>
      <c r="U182" s="45">
        <v>1</v>
      </c>
      <c r="V182" s="42" t="s">
        <v>905</v>
      </c>
      <c r="W182" s="42">
        <f t="shared" si="12"/>
        <v>1</v>
      </c>
      <c r="X182" s="42">
        <f t="shared" si="13"/>
        <v>1</v>
      </c>
      <c r="Y182" s="48">
        <f>Data_Base_Normalisation[[#This Row],[Normalisation Total]]-Data_Base_Normalisation[[#This Row],[Normalisation exécutée]]</f>
        <v>0</v>
      </c>
      <c r="Z182" s="42" t="str">
        <f t="shared" si="14"/>
        <v>mardi</v>
      </c>
      <c r="AA182" s="42" t="str">
        <f t="shared" si="15"/>
        <v>07</v>
      </c>
      <c r="AB182" s="42" t="str">
        <f t="shared" si="16"/>
        <v>05</v>
      </c>
      <c r="AC182" s="42" t="str">
        <f t="shared" si="17"/>
        <v>2024</v>
      </c>
    </row>
    <row r="183" spans="1:29" x14ac:dyDescent="0.25">
      <c r="A183" s="41">
        <v>45420</v>
      </c>
      <c r="B183" s="42" t="s">
        <v>220</v>
      </c>
      <c r="C183" s="42" t="s">
        <v>9</v>
      </c>
      <c r="D183" s="42" t="s">
        <v>412</v>
      </c>
      <c r="E183" s="43"/>
      <c r="F183" s="44" t="s">
        <v>497</v>
      </c>
      <c r="G183" s="41"/>
      <c r="H183" s="42" t="s">
        <v>651</v>
      </c>
      <c r="I183" s="42" t="s">
        <v>667</v>
      </c>
      <c r="J183" s="45" t="s">
        <v>693</v>
      </c>
      <c r="K183" s="46">
        <v>45399</v>
      </c>
      <c r="L183" s="45" t="s">
        <v>714</v>
      </c>
      <c r="M183" s="42" t="s">
        <v>740</v>
      </c>
      <c r="N183" s="46" t="s">
        <v>783</v>
      </c>
      <c r="O183" s="42" t="s">
        <v>740</v>
      </c>
      <c r="P183" s="42"/>
      <c r="Q183" s="45"/>
      <c r="R183" s="45"/>
      <c r="S183" s="42"/>
      <c r="T183" s="47"/>
      <c r="U183" s="45"/>
      <c r="V183" s="42"/>
      <c r="W183" s="42">
        <f t="shared" si="12"/>
        <v>1</v>
      </c>
      <c r="X183" s="42">
        <f t="shared" si="13"/>
        <v>0</v>
      </c>
      <c r="Y183" s="48">
        <f>Data_Base_Normalisation[[#This Row],[Normalisation Total]]-Data_Base_Normalisation[[#This Row],[Normalisation exécutée]]</f>
        <v>1</v>
      </c>
      <c r="Z183" s="42" t="str">
        <f t="shared" si="14"/>
        <v>mercredi</v>
      </c>
      <c r="AA183" s="42" t="str">
        <f t="shared" si="15"/>
        <v>08</v>
      </c>
      <c r="AB183" s="42" t="str">
        <f t="shared" si="16"/>
        <v>05</v>
      </c>
      <c r="AC183" s="42" t="str">
        <f t="shared" si="17"/>
        <v>2024</v>
      </c>
    </row>
    <row r="184" spans="1:29" x14ac:dyDescent="0.25">
      <c r="A184" s="41">
        <v>45420</v>
      </c>
      <c r="B184" s="42" t="s">
        <v>221</v>
      </c>
      <c r="C184" s="42" t="s">
        <v>9</v>
      </c>
      <c r="D184" s="42" t="s">
        <v>413</v>
      </c>
      <c r="E184" s="43"/>
      <c r="F184" s="44" t="s">
        <v>498</v>
      </c>
      <c r="G184" s="41"/>
      <c r="H184" s="42" t="s">
        <v>652</v>
      </c>
      <c r="I184" s="42" t="s">
        <v>679</v>
      </c>
      <c r="J184" s="45" t="s">
        <v>693</v>
      </c>
      <c r="K184" s="46">
        <v>45399</v>
      </c>
      <c r="L184" s="45" t="s">
        <v>714</v>
      </c>
      <c r="M184" s="42" t="s">
        <v>740</v>
      </c>
      <c r="N184" s="46" t="s">
        <v>783</v>
      </c>
      <c r="O184" s="42" t="s">
        <v>740</v>
      </c>
      <c r="P184" s="42"/>
      <c r="Q184" s="45"/>
      <c r="R184" s="45"/>
      <c r="S184" s="42"/>
      <c r="T184" s="47"/>
      <c r="U184" s="45"/>
      <c r="V184" s="42"/>
      <c r="W184" s="42">
        <f t="shared" si="12"/>
        <v>1</v>
      </c>
      <c r="X184" s="42">
        <f t="shared" si="13"/>
        <v>0</v>
      </c>
      <c r="Y184" s="48">
        <f>Data_Base_Normalisation[[#This Row],[Normalisation Total]]-Data_Base_Normalisation[[#This Row],[Normalisation exécutée]]</f>
        <v>1</v>
      </c>
      <c r="Z184" s="42" t="str">
        <f t="shared" si="14"/>
        <v>mercredi</v>
      </c>
      <c r="AA184" s="42" t="str">
        <f t="shared" si="15"/>
        <v>08</v>
      </c>
      <c r="AB184" s="42" t="str">
        <f t="shared" si="16"/>
        <v>05</v>
      </c>
      <c r="AC184" s="42" t="str">
        <f t="shared" si="17"/>
        <v>2024</v>
      </c>
    </row>
    <row r="185" spans="1:29" x14ac:dyDescent="0.25">
      <c r="A185" s="41">
        <v>45420</v>
      </c>
      <c r="B185" s="42" t="s">
        <v>222</v>
      </c>
      <c r="C185" s="42" t="s">
        <v>9</v>
      </c>
      <c r="D185" s="42" t="s">
        <v>413</v>
      </c>
      <c r="E185" s="43"/>
      <c r="F185" s="44" t="s">
        <v>497</v>
      </c>
      <c r="G185" s="41"/>
      <c r="H185" s="42" t="s">
        <v>653</v>
      </c>
      <c r="I185" s="42" t="s">
        <v>679</v>
      </c>
      <c r="J185" s="45" t="s">
        <v>693</v>
      </c>
      <c r="K185" s="46">
        <v>45399</v>
      </c>
      <c r="L185" s="45"/>
      <c r="M185" s="42"/>
      <c r="N185" s="46"/>
      <c r="O185" s="42"/>
      <c r="P185" s="42"/>
      <c r="Q185" s="45"/>
      <c r="R185" s="45"/>
      <c r="S185" s="42"/>
      <c r="T185" s="47"/>
      <c r="U185" s="45"/>
      <c r="V185" s="42"/>
      <c r="W185" s="42">
        <f t="shared" si="12"/>
        <v>1</v>
      </c>
      <c r="X185" s="42">
        <f t="shared" si="13"/>
        <v>0</v>
      </c>
      <c r="Y185" s="48">
        <f>Data_Base_Normalisation[[#This Row],[Normalisation Total]]-Data_Base_Normalisation[[#This Row],[Normalisation exécutée]]</f>
        <v>1</v>
      </c>
      <c r="Z185" s="42" t="str">
        <f t="shared" si="14"/>
        <v>mercredi</v>
      </c>
      <c r="AA185" s="42" t="str">
        <f t="shared" si="15"/>
        <v>08</v>
      </c>
      <c r="AB185" s="42" t="str">
        <f t="shared" si="16"/>
        <v>05</v>
      </c>
      <c r="AC185" s="42" t="str">
        <f t="shared" si="17"/>
        <v>2024</v>
      </c>
    </row>
    <row r="186" spans="1:29" x14ac:dyDescent="0.25">
      <c r="A186" s="41">
        <v>45420</v>
      </c>
      <c r="B186" s="42" t="s">
        <v>223</v>
      </c>
      <c r="C186" s="42" t="s">
        <v>1</v>
      </c>
      <c r="D186" s="42" t="s">
        <v>414</v>
      </c>
      <c r="E186" s="43"/>
      <c r="F186" s="44" t="s">
        <v>497</v>
      </c>
      <c r="G186" s="41"/>
      <c r="H186" s="42" t="s">
        <v>571</v>
      </c>
      <c r="I186" s="42" t="s">
        <v>679</v>
      </c>
      <c r="J186" s="45" t="s">
        <v>693</v>
      </c>
      <c r="K186" s="46"/>
      <c r="L186" s="45"/>
      <c r="M186" s="42"/>
      <c r="N186" s="46"/>
      <c r="O186" s="42"/>
      <c r="P186" s="42"/>
      <c r="Q186" s="45"/>
      <c r="R186" s="45"/>
      <c r="S186" s="42"/>
      <c r="T186" s="47"/>
      <c r="U186" s="45"/>
      <c r="V186" s="42"/>
      <c r="W186" s="42">
        <f t="shared" si="12"/>
        <v>1</v>
      </c>
      <c r="X186" s="42">
        <f t="shared" si="13"/>
        <v>0</v>
      </c>
      <c r="Y186" s="48">
        <f>Data_Base_Normalisation[[#This Row],[Normalisation Total]]-Data_Base_Normalisation[[#This Row],[Normalisation exécutée]]</f>
        <v>1</v>
      </c>
      <c r="Z186" s="42" t="str">
        <f t="shared" si="14"/>
        <v>mercredi</v>
      </c>
      <c r="AA186" s="42" t="str">
        <f t="shared" si="15"/>
        <v>08</v>
      </c>
      <c r="AB186" s="42" t="str">
        <f t="shared" si="16"/>
        <v>05</v>
      </c>
      <c r="AC186" s="42" t="str">
        <f t="shared" si="17"/>
        <v>2024</v>
      </c>
    </row>
    <row r="187" spans="1:29" x14ac:dyDescent="0.25">
      <c r="A187" s="41">
        <v>45420</v>
      </c>
      <c r="B187" s="42" t="s">
        <v>224</v>
      </c>
      <c r="C187" s="42" t="s">
        <v>908</v>
      </c>
      <c r="D187" s="42"/>
      <c r="E187" s="43"/>
      <c r="F187" s="44" t="s">
        <v>497</v>
      </c>
      <c r="G187" s="41"/>
      <c r="H187" s="42" t="s">
        <v>654</v>
      </c>
      <c r="I187" s="42" t="s">
        <v>668</v>
      </c>
      <c r="J187" s="45" t="s">
        <v>686</v>
      </c>
      <c r="K187" s="46">
        <v>45399</v>
      </c>
      <c r="L187" s="45"/>
      <c r="M187" s="42"/>
      <c r="N187" s="46"/>
      <c r="O187" s="42"/>
      <c r="P187" s="42"/>
      <c r="Q187" s="45"/>
      <c r="R187" s="45"/>
      <c r="S187" s="42"/>
      <c r="T187" s="47"/>
      <c r="U187" s="45"/>
      <c r="V187" s="42"/>
      <c r="W187" s="42">
        <f t="shared" si="12"/>
        <v>1</v>
      </c>
      <c r="X187" s="42">
        <f t="shared" si="13"/>
        <v>0</v>
      </c>
      <c r="Y187" s="48">
        <f>Data_Base_Normalisation[[#This Row],[Normalisation Total]]-Data_Base_Normalisation[[#This Row],[Normalisation exécutée]]</f>
        <v>1</v>
      </c>
      <c r="Z187" s="42" t="str">
        <f t="shared" si="14"/>
        <v>mercredi</v>
      </c>
      <c r="AA187" s="42" t="str">
        <f t="shared" si="15"/>
        <v>08</v>
      </c>
      <c r="AB187" s="42" t="str">
        <f t="shared" si="16"/>
        <v>05</v>
      </c>
      <c r="AC187" s="42" t="str">
        <f t="shared" si="17"/>
        <v>2024</v>
      </c>
    </row>
    <row r="188" spans="1:29" x14ac:dyDescent="0.25">
      <c r="A188" s="41">
        <v>45420</v>
      </c>
      <c r="B188" s="42" t="s">
        <v>225</v>
      </c>
      <c r="C188" s="42" t="s">
        <v>9</v>
      </c>
      <c r="D188" s="42" t="s">
        <v>415</v>
      </c>
      <c r="E188" s="43"/>
      <c r="F188" s="44" t="s">
        <v>506</v>
      </c>
      <c r="G188" s="41"/>
      <c r="H188" s="42" t="s">
        <v>655</v>
      </c>
      <c r="I188" s="42" t="s">
        <v>680</v>
      </c>
      <c r="J188" s="45" t="s">
        <v>685</v>
      </c>
      <c r="K188" s="46">
        <v>45399</v>
      </c>
      <c r="L188" s="45"/>
      <c r="M188" s="42" t="s">
        <v>726</v>
      </c>
      <c r="N188" s="46" t="s">
        <v>783</v>
      </c>
      <c r="O188" s="42" t="s">
        <v>756</v>
      </c>
      <c r="P188" s="42" t="s">
        <v>484</v>
      </c>
      <c r="Q188" s="45"/>
      <c r="R188" s="45">
        <v>213</v>
      </c>
      <c r="S188" s="42"/>
      <c r="T188" s="47"/>
      <c r="U188" s="45">
        <v>1</v>
      </c>
      <c r="V188" s="42" t="s">
        <v>905</v>
      </c>
      <c r="W188" s="42">
        <f t="shared" si="12"/>
        <v>1</v>
      </c>
      <c r="X188" s="42">
        <f t="shared" si="13"/>
        <v>1</v>
      </c>
      <c r="Y188" s="48">
        <f>Data_Base_Normalisation[[#This Row],[Normalisation Total]]-Data_Base_Normalisation[[#This Row],[Normalisation exécutée]]</f>
        <v>0</v>
      </c>
      <c r="Z188" s="42" t="str">
        <f t="shared" si="14"/>
        <v>mercredi</v>
      </c>
      <c r="AA188" s="42" t="str">
        <f t="shared" si="15"/>
        <v>08</v>
      </c>
      <c r="AB188" s="42" t="str">
        <f t="shared" si="16"/>
        <v>05</v>
      </c>
      <c r="AC188" s="42" t="str">
        <f t="shared" si="17"/>
        <v>2024</v>
      </c>
    </row>
    <row r="189" spans="1:29" x14ac:dyDescent="0.25">
      <c r="A189" s="41">
        <v>45420</v>
      </c>
      <c r="B189" s="42" t="s">
        <v>226</v>
      </c>
      <c r="C189" s="42" t="s">
        <v>908</v>
      </c>
      <c r="D189" s="42" t="s">
        <v>416</v>
      </c>
      <c r="E189" s="43"/>
      <c r="F189" s="44" t="s">
        <v>499</v>
      </c>
      <c r="G189" s="41"/>
      <c r="H189" s="42" t="s">
        <v>656</v>
      </c>
      <c r="I189" s="42" t="s">
        <v>681</v>
      </c>
      <c r="J189" s="45" t="s">
        <v>690</v>
      </c>
      <c r="K189" s="46">
        <v>45399</v>
      </c>
      <c r="L189" s="45"/>
      <c r="M189" s="42" t="s">
        <v>721</v>
      </c>
      <c r="N189" s="46" t="s">
        <v>783</v>
      </c>
      <c r="O189" s="42" t="s">
        <v>755</v>
      </c>
      <c r="P189" s="42" t="s">
        <v>894</v>
      </c>
      <c r="Q189" s="45"/>
      <c r="R189" s="45"/>
      <c r="S189" s="42">
        <v>0</v>
      </c>
      <c r="T189" s="47"/>
      <c r="U189" s="45">
        <v>1</v>
      </c>
      <c r="V189" s="42" t="s">
        <v>905</v>
      </c>
      <c r="W189" s="42">
        <f t="shared" si="12"/>
        <v>1</v>
      </c>
      <c r="X189" s="42">
        <f t="shared" si="13"/>
        <v>1</v>
      </c>
      <c r="Y189" s="48">
        <f>Data_Base_Normalisation[[#This Row],[Normalisation Total]]-Data_Base_Normalisation[[#This Row],[Normalisation exécutée]]</f>
        <v>0</v>
      </c>
      <c r="Z189" s="42" t="str">
        <f t="shared" si="14"/>
        <v>mercredi</v>
      </c>
      <c r="AA189" s="42" t="str">
        <f t="shared" si="15"/>
        <v>08</v>
      </c>
      <c r="AB189" s="42" t="str">
        <f t="shared" si="16"/>
        <v>05</v>
      </c>
      <c r="AC189" s="42" t="str">
        <f t="shared" si="17"/>
        <v>2024</v>
      </c>
    </row>
    <row r="190" spans="1:29" x14ac:dyDescent="0.25">
      <c r="A190" s="41">
        <v>45420</v>
      </c>
      <c r="B190" s="42" t="s">
        <v>227</v>
      </c>
      <c r="C190" s="42" t="s">
        <v>908</v>
      </c>
      <c r="D190" s="42" t="s">
        <v>355</v>
      </c>
      <c r="E190" s="43"/>
      <c r="F190" s="44" t="s">
        <v>499</v>
      </c>
      <c r="G190" s="41"/>
      <c r="H190" s="42" t="s">
        <v>603</v>
      </c>
      <c r="I190" s="42" t="s">
        <v>667</v>
      </c>
      <c r="J190" s="45" t="s">
        <v>685</v>
      </c>
      <c r="K190" s="46">
        <v>45399</v>
      </c>
      <c r="L190" s="45" t="s">
        <v>702</v>
      </c>
      <c r="M190" s="42" t="s">
        <v>719</v>
      </c>
      <c r="N190" s="46" t="s">
        <v>783</v>
      </c>
      <c r="O190" s="42" t="s">
        <v>745</v>
      </c>
      <c r="P190" s="42" t="s">
        <v>895</v>
      </c>
      <c r="Q190" s="45" t="s">
        <v>901</v>
      </c>
      <c r="R190" s="45">
        <v>1135</v>
      </c>
      <c r="S190" s="42"/>
      <c r="T190" s="47"/>
      <c r="U190" s="45">
        <v>1</v>
      </c>
      <c r="V190" s="42"/>
      <c r="W190" s="42">
        <f t="shared" si="12"/>
        <v>1</v>
      </c>
      <c r="X190" s="42">
        <f t="shared" si="13"/>
        <v>1</v>
      </c>
      <c r="Y190" s="48">
        <f>Data_Base_Normalisation[[#This Row],[Normalisation Total]]-Data_Base_Normalisation[[#This Row],[Normalisation exécutée]]</f>
        <v>0</v>
      </c>
      <c r="Z190" s="42" t="str">
        <f t="shared" si="14"/>
        <v>mercredi</v>
      </c>
      <c r="AA190" s="42" t="str">
        <f t="shared" si="15"/>
        <v>08</v>
      </c>
      <c r="AB190" s="42" t="str">
        <f t="shared" si="16"/>
        <v>05</v>
      </c>
      <c r="AC190" s="42" t="str">
        <f t="shared" si="17"/>
        <v>2024</v>
      </c>
    </row>
    <row r="191" spans="1:29" x14ac:dyDescent="0.25">
      <c r="A191" s="41">
        <v>45420</v>
      </c>
      <c r="B191" s="42" t="s">
        <v>228</v>
      </c>
      <c r="C191" s="42" t="s">
        <v>1</v>
      </c>
      <c r="D191" s="42" t="s">
        <v>417</v>
      </c>
      <c r="E191" s="43"/>
      <c r="F191" s="44" t="s">
        <v>497</v>
      </c>
      <c r="G191" s="41"/>
      <c r="H191" s="42" t="s">
        <v>16</v>
      </c>
      <c r="I191" s="42" t="s">
        <v>668</v>
      </c>
      <c r="J191" s="45" t="s">
        <v>686</v>
      </c>
      <c r="K191" s="46">
        <v>45399</v>
      </c>
      <c r="L191" s="45" t="s">
        <v>702</v>
      </c>
      <c r="M191" s="42" t="s">
        <v>719</v>
      </c>
      <c r="N191" s="46" t="s">
        <v>784</v>
      </c>
      <c r="O191" s="42" t="s">
        <v>745</v>
      </c>
      <c r="P191" s="42" t="s">
        <v>487</v>
      </c>
      <c r="Q191" s="45"/>
      <c r="R191" s="45"/>
      <c r="S191" s="42"/>
      <c r="T191" s="47"/>
      <c r="U191" s="45">
        <v>1</v>
      </c>
      <c r="V191" s="42" t="s">
        <v>905</v>
      </c>
      <c r="W191" s="42">
        <f t="shared" si="12"/>
        <v>1</v>
      </c>
      <c r="X191" s="42">
        <f t="shared" si="13"/>
        <v>1</v>
      </c>
      <c r="Y191" s="48">
        <f>Data_Base_Normalisation[[#This Row],[Normalisation Total]]-Data_Base_Normalisation[[#This Row],[Normalisation exécutée]]</f>
        <v>0</v>
      </c>
      <c r="Z191" s="42" t="str">
        <f t="shared" si="14"/>
        <v>mercredi</v>
      </c>
      <c r="AA191" s="42" t="str">
        <f t="shared" si="15"/>
        <v>08</v>
      </c>
      <c r="AB191" s="42" t="str">
        <f t="shared" si="16"/>
        <v>05</v>
      </c>
      <c r="AC191" s="42" t="str">
        <f t="shared" si="17"/>
        <v>2024</v>
      </c>
    </row>
    <row r="192" spans="1:29" x14ac:dyDescent="0.25">
      <c r="A192" s="41">
        <v>45420</v>
      </c>
      <c r="B192" s="42" t="s">
        <v>229</v>
      </c>
      <c r="C192" s="42" t="s">
        <v>908</v>
      </c>
      <c r="D192" s="42" t="s">
        <v>418</v>
      </c>
      <c r="E192" s="43"/>
      <c r="F192" s="44" t="s">
        <v>499</v>
      </c>
      <c r="G192" s="41"/>
      <c r="H192" s="42" t="s">
        <v>657</v>
      </c>
      <c r="I192" s="42" t="s">
        <v>679</v>
      </c>
      <c r="J192" s="45" t="s">
        <v>685</v>
      </c>
      <c r="K192" s="46">
        <v>45399</v>
      </c>
      <c r="L192" s="45" t="s">
        <v>700</v>
      </c>
      <c r="M192" s="42" t="s">
        <v>730</v>
      </c>
      <c r="N192" s="46" t="s">
        <v>783</v>
      </c>
      <c r="O192" s="42" t="s">
        <v>39</v>
      </c>
      <c r="P192" s="42" t="s">
        <v>896</v>
      </c>
      <c r="Q192" s="45">
        <v>91229</v>
      </c>
      <c r="R192" s="45">
        <v>10</v>
      </c>
      <c r="S192" s="42">
        <v>30</v>
      </c>
      <c r="T192" s="47"/>
      <c r="U192" s="45">
        <v>1</v>
      </c>
      <c r="V192" s="42" t="s">
        <v>905</v>
      </c>
      <c r="W192" s="42">
        <f t="shared" si="12"/>
        <v>1</v>
      </c>
      <c r="X192" s="42">
        <f t="shared" si="13"/>
        <v>1</v>
      </c>
      <c r="Y192" s="48">
        <f>Data_Base_Normalisation[[#This Row],[Normalisation Total]]-Data_Base_Normalisation[[#This Row],[Normalisation exécutée]]</f>
        <v>0</v>
      </c>
      <c r="Z192" s="42" t="str">
        <f t="shared" si="14"/>
        <v>mercredi</v>
      </c>
      <c r="AA192" s="42" t="str">
        <f t="shared" si="15"/>
        <v>08</v>
      </c>
      <c r="AB192" s="42" t="str">
        <f t="shared" si="16"/>
        <v>05</v>
      </c>
      <c r="AC192" s="42" t="str">
        <f t="shared" si="17"/>
        <v>2024</v>
      </c>
    </row>
    <row r="193" spans="1:29" x14ac:dyDescent="0.25">
      <c r="A193" s="41">
        <v>45422</v>
      </c>
      <c r="B193" s="42" t="s">
        <v>230</v>
      </c>
      <c r="C193" s="42" t="s">
        <v>9</v>
      </c>
      <c r="D193" s="42" t="s">
        <v>419</v>
      </c>
      <c r="E193" s="43"/>
      <c r="F193" s="44" t="s">
        <v>497</v>
      </c>
      <c r="G193" s="41"/>
      <c r="H193" s="42" t="s">
        <v>658</v>
      </c>
      <c r="I193" s="42" t="s">
        <v>679</v>
      </c>
      <c r="J193" s="45" t="s">
        <v>685</v>
      </c>
      <c r="K193" s="46">
        <v>45399</v>
      </c>
      <c r="L193" s="45"/>
      <c r="M193" s="42"/>
      <c r="N193" s="46"/>
      <c r="O193" s="42"/>
      <c r="P193" s="42"/>
      <c r="Q193" s="45"/>
      <c r="R193" s="45"/>
      <c r="S193" s="42"/>
      <c r="T193" s="47"/>
      <c r="U193" s="45"/>
      <c r="V193" s="42"/>
      <c r="W193" s="42">
        <f t="shared" si="12"/>
        <v>1</v>
      </c>
      <c r="X193" s="42">
        <f t="shared" si="13"/>
        <v>0</v>
      </c>
      <c r="Y193" s="48">
        <f>Data_Base_Normalisation[[#This Row],[Normalisation Total]]-Data_Base_Normalisation[[#This Row],[Normalisation exécutée]]</f>
        <v>1</v>
      </c>
      <c r="Z193" s="42" t="str">
        <f t="shared" si="14"/>
        <v>vendredi</v>
      </c>
      <c r="AA193" s="42" t="str">
        <f t="shared" si="15"/>
        <v>10</v>
      </c>
      <c r="AB193" s="42" t="str">
        <f t="shared" si="16"/>
        <v>05</v>
      </c>
      <c r="AC193" s="42" t="str">
        <f t="shared" si="17"/>
        <v>2024</v>
      </c>
    </row>
    <row r="194" spans="1:29" x14ac:dyDescent="0.25">
      <c r="A194" s="41">
        <v>45422</v>
      </c>
      <c r="B194" s="42" t="s">
        <v>231</v>
      </c>
      <c r="C194" s="42" t="s">
        <v>908</v>
      </c>
      <c r="D194" s="42" t="s">
        <v>420</v>
      </c>
      <c r="E194" s="43"/>
      <c r="F194" s="44" t="s">
        <v>497</v>
      </c>
      <c r="G194" s="41"/>
      <c r="H194" s="42" t="s">
        <v>659</v>
      </c>
      <c r="I194" s="42" t="s">
        <v>668</v>
      </c>
      <c r="J194" s="45" t="s">
        <v>686</v>
      </c>
      <c r="K194" s="46">
        <v>45399</v>
      </c>
      <c r="L194" s="45" t="s">
        <v>715</v>
      </c>
      <c r="M194" s="42" t="s">
        <v>721</v>
      </c>
      <c r="N194" s="46"/>
      <c r="O194" s="42" t="s">
        <v>755</v>
      </c>
      <c r="P194" s="42"/>
      <c r="Q194" s="45"/>
      <c r="R194" s="45"/>
      <c r="S194" s="42"/>
      <c r="T194" s="47"/>
      <c r="U194" s="45"/>
      <c r="V194" s="42"/>
      <c r="W194" s="42">
        <f t="shared" si="12"/>
        <v>1</v>
      </c>
      <c r="X194" s="42">
        <f t="shared" si="13"/>
        <v>0</v>
      </c>
      <c r="Y194" s="48">
        <f>Data_Base_Normalisation[[#This Row],[Normalisation Total]]-Data_Base_Normalisation[[#This Row],[Normalisation exécutée]]</f>
        <v>1</v>
      </c>
      <c r="Z194" s="42" t="str">
        <f t="shared" si="14"/>
        <v>vendredi</v>
      </c>
      <c r="AA194" s="42" t="str">
        <f t="shared" si="15"/>
        <v>10</v>
      </c>
      <c r="AB194" s="42" t="str">
        <f t="shared" si="16"/>
        <v>05</v>
      </c>
      <c r="AC194" s="42" t="str">
        <f t="shared" si="17"/>
        <v>2024</v>
      </c>
    </row>
    <row r="195" spans="1:29" x14ac:dyDescent="0.25">
      <c r="A195" s="41">
        <v>45422</v>
      </c>
      <c r="B195" s="42" t="s">
        <v>232</v>
      </c>
      <c r="C195" s="42" t="s">
        <v>908</v>
      </c>
      <c r="D195" s="42" t="s">
        <v>421</v>
      </c>
      <c r="E195" s="43"/>
      <c r="F195" s="44" t="s">
        <v>497</v>
      </c>
      <c r="G195" s="41"/>
      <c r="H195" s="42" t="s">
        <v>660</v>
      </c>
      <c r="I195" s="42" t="s">
        <v>668</v>
      </c>
      <c r="J195" s="45" t="s">
        <v>686</v>
      </c>
      <c r="K195" s="46">
        <v>45399</v>
      </c>
      <c r="L195" s="45" t="s">
        <v>715</v>
      </c>
      <c r="M195" s="42" t="s">
        <v>721</v>
      </c>
      <c r="N195" s="46"/>
      <c r="O195" s="42" t="s">
        <v>755</v>
      </c>
      <c r="P195" s="42"/>
      <c r="Q195" s="45"/>
      <c r="R195" s="45"/>
      <c r="S195" s="42"/>
      <c r="T195" s="47"/>
      <c r="U195" s="45"/>
      <c r="V195" s="42"/>
      <c r="W195" s="42">
        <f t="shared" ref="W195:W199" si="18">COUNTA(B195)</f>
        <v>1</v>
      </c>
      <c r="X195" s="42">
        <f t="shared" ref="X195:X199" si="19">COUNTA(P195)</f>
        <v>0</v>
      </c>
      <c r="Y195" s="48">
        <f>Data_Base_Normalisation[[#This Row],[Normalisation Total]]-Data_Base_Normalisation[[#This Row],[Normalisation exécutée]]</f>
        <v>1</v>
      </c>
      <c r="Z195" s="42" t="str">
        <f t="shared" ref="Z195:Z199" si="20">IF(A195=""," ",TEXT(A195,"jjjj"))</f>
        <v>vendredi</v>
      </c>
      <c r="AA195" s="42" t="str">
        <f t="shared" ref="AA195:AA199" si="21">IF(A195=""," ",TEXT(A195,"jj"))</f>
        <v>10</v>
      </c>
      <c r="AB195" s="42" t="str">
        <f t="shared" ref="AB195:AB199" si="22">IF(A195=""," ",TEXT(A195,"mm"))</f>
        <v>05</v>
      </c>
      <c r="AC195" s="42" t="str">
        <f t="shared" ref="AC195:AC199" si="23">IF(A195=""," ",TEXT(A195,"AAAA"))</f>
        <v>2024</v>
      </c>
    </row>
    <row r="196" spans="1:29" x14ac:dyDescent="0.25">
      <c r="A196" s="41">
        <v>45422</v>
      </c>
      <c r="B196" s="42" t="s">
        <v>233</v>
      </c>
      <c r="C196" s="42" t="s">
        <v>908</v>
      </c>
      <c r="D196" s="42" t="s">
        <v>422</v>
      </c>
      <c r="E196" s="43"/>
      <c r="F196" s="44" t="s">
        <v>497</v>
      </c>
      <c r="G196" s="41"/>
      <c r="H196" s="42" t="s">
        <v>661</v>
      </c>
      <c r="I196" s="42" t="s">
        <v>668</v>
      </c>
      <c r="J196" s="45" t="s">
        <v>686</v>
      </c>
      <c r="K196" s="46">
        <v>45399</v>
      </c>
      <c r="L196" s="45" t="s">
        <v>701</v>
      </c>
      <c r="M196" s="42" t="s">
        <v>718</v>
      </c>
      <c r="N196" s="46"/>
      <c r="O196" s="42" t="s">
        <v>744</v>
      </c>
      <c r="P196" s="42"/>
      <c r="Q196" s="45"/>
      <c r="R196" s="45"/>
      <c r="S196" s="42"/>
      <c r="T196" s="47"/>
      <c r="U196" s="45"/>
      <c r="V196" s="42"/>
      <c r="W196" s="42">
        <f t="shared" si="18"/>
        <v>1</v>
      </c>
      <c r="X196" s="42">
        <f t="shared" si="19"/>
        <v>0</v>
      </c>
      <c r="Y196" s="48">
        <f>Data_Base_Normalisation[[#This Row],[Normalisation Total]]-Data_Base_Normalisation[[#This Row],[Normalisation exécutée]]</f>
        <v>1</v>
      </c>
      <c r="Z196" s="42" t="str">
        <f t="shared" si="20"/>
        <v>vendredi</v>
      </c>
      <c r="AA196" s="42" t="str">
        <f t="shared" si="21"/>
        <v>10</v>
      </c>
      <c r="AB196" s="42" t="str">
        <f t="shared" si="22"/>
        <v>05</v>
      </c>
      <c r="AC196" s="42" t="str">
        <f t="shared" si="23"/>
        <v>2024</v>
      </c>
    </row>
    <row r="197" spans="1:29" x14ac:dyDescent="0.25">
      <c r="A197" s="41">
        <v>45422</v>
      </c>
      <c r="B197" s="42" t="s">
        <v>234</v>
      </c>
      <c r="C197" s="42" t="s">
        <v>1</v>
      </c>
      <c r="D197" s="42" t="s">
        <v>423</v>
      </c>
      <c r="E197" s="43"/>
      <c r="F197" s="44" t="s">
        <v>497</v>
      </c>
      <c r="G197" s="41"/>
      <c r="H197" s="42" t="s">
        <v>662</v>
      </c>
      <c r="I197" s="42" t="s">
        <v>668</v>
      </c>
      <c r="J197" s="45" t="s">
        <v>686</v>
      </c>
      <c r="K197" s="46">
        <v>45399</v>
      </c>
      <c r="L197" s="45" t="s">
        <v>702</v>
      </c>
      <c r="M197" s="42" t="s">
        <v>719</v>
      </c>
      <c r="N197" s="46"/>
      <c r="O197" s="42" t="s">
        <v>745</v>
      </c>
      <c r="P197" s="42"/>
      <c r="Q197" s="45"/>
      <c r="R197" s="45"/>
      <c r="S197" s="42"/>
      <c r="T197" s="47"/>
      <c r="U197" s="45"/>
      <c r="V197" s="42"/>
      <c r="W197" s="42">
        <f t="shared" si="18"/>
        <v>1</v>
      </c>
      <c r="X197" s="42">
        <f t="shared" si="19"/>
        <v>0</v>
      </c>
      <c r="Y197" s="48">
        <f>Data_Base_Normalisation[[#This Row],[Normalisation Total]]-Data_Base_Normalisation[[#This Row],[Normalisation exécutée]]</f>
        <v>1</v>
      </c>
      <c r="Z197" s="42" t="str">
        <f t="shared" si="20"/>
        <v>vendredi</v>
      </c>
      <c r="AA197" s="42" t="str">
        <f t="shared" si="21"/>
        <v>10</v>
      </c>
      <c r="AB197" s="42" t="str">
        <f t="shared" si="22"/>
        <v>05</v>
      </c>
      <c r="AC197" s="42" t="str">
        <f t="shared" si="23"/>
        <v>2024</v>
      </c>
    </row>
    <row r="198" spans="1:29" x14ac:dyDescent="0.25">
      <c r="A198" s="41">
        <v>45422</v>
      </c>
      <c r="B198" s="42" t="s">
        <v>235</v>
      </c>
      <c r="C198" s="42" t="s">
        <v>908</v>
      </c>
      <c r="D198" s="42" t="s">
        <v>424</v>
      </c>
      <c r="E198" s="43"/>
      <c r="F198" s="44" t="s">
        <v>497</v>
      </c>
      <c r="G198" s="41"/>
      <c r="H198" s="42" t="s">
        <v>663</v>
      </c>
      <c r="I198" s="42" t="s">
        <v>668</v>
      </c>
      <c r="J198" s="45" t="s">
        <v>686</v>
      </c>
      <c r="K198" s="46">
        <v>45399</v>
      </c>
      <c r="L198" s="45" t="s">
        <v>716</v>
      </c>
      <c r="M198" s="42" t="s">
        <v>726</v>
      </c>
      <c r="N198" s="46"/>
      <c r="O198" s="42" t="s">
        <v>756</v>
      </c>
      <c r="P198" s="42"/>
      <c r="Q198" s="45"/>
      <c r="R198" s="45"/>
      <c r="S198" s="42"/>
      <c r="T198" s="47"/>
      <c r="U198" s="45"/>
      <c r="V198" s="42"/>
      <c r="W198" s="42">
        <f t="shared" si="18"/>
        <v>1</v>
      </c>
      <c r="X198" s="42">
        <f t="shared" si="19"/>
        <v>0</v>
      </c>
      <c r="Y198" s="48">
        <f>Data_Base_Normalisation[[#This Row],[Normalisation Total]]-Data_Base_Normalisation[[#This Row],[Normalisation exécutée]]</f>
        <v>1</v>
      </c>
      <c r="Z198" s="42" t="str">
        <f t="shared" si="20"/>
        <v>vendredi</v>
      </c>
      <c r="AA198" s="42" t="str">
        <f t="shared" si="21"/>
        <v>10</v>
      </c>
      <c r="AB198" s="42" t="str">
        <f t="shared" si="22"/>
        <v>05</v>
      </c>
      <c r="AC198" s="42" t="str">
        <f t="shared" si="23"/>
        <v>2024</v>
      </c>
    </row>
    <row r="199" spans="1:29" x14ac:dyDescent="0.25">
      <c r="A199" s="41">
        <v>45422</v>
      </c>
      <c r="B199" s="42" t="s">
        <v>236</v>
      </c>
      <c r="C199" s="42" t="s">
        <v>1</v>
      </c>
      <c r="D199" s="42" t="s">
        <v>425</v>
      </c>
      <c r="E199" s="43"/>
      <c r="F199" s="44" t="s">
        <v>506</v>
      </c>
      <c r="G199" s="41"/>
      <c r="H199" s="42" t="s">
        <v>664</v>
      </c>
      <c r="I199" s="42" t="s">
        <v>682</v>
      </c>
      <c r="J199" s="45" t="s">
        <v>695</v>
      </c>
      <c r="K199" s="46">
        <v>45399</v>
      </c>
      <c r="L199" s="45" t="s">
        <v>716</v>
      </c>
      <c r="M199" s="42" t="s">
        <v>726</v>
      </c>
      <c r="N199" s="46"/>
      <c r="O199" s="42" t="s">
        <v>756</v>
      </c>
      <c r="P199" s="42"/>
      <c r="Q199" s="45"/>
      <c r="R199" s="45"/>
      <c r="S199" s="42"/>
      <c r="T199" s="47"/>
      <c r="U199" s="45"/>
      <c r="V199" s="42"/>
      <c r="W199" s="42">
        <f t="shared" si="18"/>
        <v>1</v>
      </c>
      <c r="X199" s="42">
        <f t="shared" si="19"/>
        <v>0</v>
      </c>
      <c r="Y199" s="48">
        <f>Data_Base_Normalisation[[#This Row],[Normalisation Total]]-Data_Base_Normalisation[[#This Row],[Normalisation exécutée]]</f>
        <v>1</v>
      </c>
      <c r="Z199" s="42" t="str">
        <f t="shared" si="20"/>
        <v>vendredi</v>
      </c>
      <c r="AA199" s="42" t="str">
        <f t="shared" si="21"/>
        <v>10</v>
      </c>
      <c r="AB199" s="42" t="str">
        <f t="shared" si="22"/>
        <v>05</v>
      </c>
      <c r="AC199" s="42" t="str">
        <f t="shared" si="23"/>
        <v>2024</v>
      </c>
    </row>
  </sheetData>
  <sheetProtection algorithmName="SHA-512" hashValue="xB64G4g1ZLHpmtzO63Rtz4cc221ViDd/bFZHxz8Id2zdDtoZp0ms7Gv0C04Lu1eynmYCaYXek1H6ChMvoux4qg==" saltValue="ef+CNz8C26FftFO6ZeosoQ==" spinCount="100000" sheet="1" objects="1" scenarios="1" selectLockedCells="1" sort="0" autoFilter="0" pivotTables="0"/>
  <dataValidations count="2">
    <dataValidation type="date" allowBlank="1" showInputMessage="1" showErrorMessage="1" error="Date Incorrecte_x000a__x000a_Les dates dates vont du 01/12/2024 au 01/12/2035" sqref="N1 A1 K1 K200:K1048576 G1:G1048576 A200:A1048576 N200:N1048576" xr:uid="{73BDF942-F86D-45BE-B151-12E7E6C33765}">
      <formula1>45292</formula1>
      <formula2>49674</formula2>
    </dataValidation>
    <dataValidation type="date" allowBlank="1" showInputMessage="1" showErrorMessage="1" error="Wrong Date_x000a__x000a_Dates Ranges from 01/01/2024 to 01/12/2035" prompt="Dates Ranges from 01/01/2024 to 01/12/2035" sqref="K2:K199 A2:A199 N2:N199" xr:uid="{A7F4FD37-5263-48B5-9155-BE2D0C99DDCA}">
      <formula1>45292</formula1>
      <formula2>49674</formula2>
    </dataValidation>
  </dataValidations>
  <pageMargins left="0.7" right="0.7" top="0.75" bottom="0.75" header="0.3" footer="0.3"/>
  <pageSetup paperSize="9" orientation="portrait" horizontalDpi="200" verticalDpi="200" r:id="rId1"/>
  <ignoredErrors>
    <ignoredError sqref="N8:N10 N22:N30 N35 N37:N46 N48:N50 N60:N62 N67 N75:N81 N85:N199" listDataValidatio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Branch's" error="Choose item from list/ Choisir l'élément de la liste" promptTitle="Branch's" prompt="Choose item from list/ Choisir l'élément de la liste" xr:uid="{6F04555C-431C-411A-91DB-15CB2B78E971}">
          <x14:formula1>
            <xm:f>'TCD '!$B$31:$B$33</xm:f>
          </x14:formula1>
          <xm:sqref>C2:C199</xm:sqref>
        </x14:dataValidation>
        <x14:dataValidation type="list" allowBlank="1" showInputMessage="1" showErrorMessage="1" errorTitle="STOP " error="Choisir l'élément de la liste" xr:uid="{EF144D4E-189F-4E32-A3DA-064F8F817BDF}">
          <x14:formula1>
            <xm:f>Liste!$B$2:$B$29</xm:f>
          </x14:formula1>
          <xm:sqref>I2:I199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1AE7E-B6E5-4A9A-8AD3-3E6587925A8B}">
  <sheetPr codeName="Sheet2"/>
  <dimension ref="B1:B15"/>
  <sheetViews>
    <sheetView showGridLines="0" workbookViewId="0">
      <pane ySplit="1" topLeftCell="A2" activePane="bottomLeft" state="frozen"/>
      <selection pane="bottomLeft" activeCell="E15" sqref="E15"/>
    </sheetView>
  </sheetViews>
  <sheetFormatPr defaultColWidth="11.42578125" defaultRowHeight="15" x14ac:dyDescent="0.25"/>
  <cols>
    <col min="2" max="2" width="28.140625" style="42" customWidth="1"/>
  </cols>
  <sheetData>
    <row r="1" spans="2:2" x14ac:dyDescent="0.25">
      <c r="B1" s="42" t="s">
        <v>921</v>
      </c>
    </row>
    <row r="2" spans="2:2" x14ac:dyDescent="0.25">
      <c r="B2" s="42" t="s">
        <v>666</v>
      </c>
    </row>
    <row r="3" spans="2:2" x14ac:dyDescent="0.25">
      <c r="B3" s="42" t="s">
        <v>922</v>
      </c>
    </row>
    <row r="4" spans="2:2" x14ac:dyDescent="0.25">
      <c r="B4" s="42" t="s">
        <v>923</v>
      </c>
    </row>
    <row r="5" spans="2:2" x14ac:dyDescent="0.25">
      <c r="B5" s="42" t="s">
        <v>924</v>
      </c>
    </row>
    <row r="6" spans="2:2" x14ac:dyDescent="0.25">
      <c r="B6" s="42" t="s">
        <v>925</v>
      </c>
    </row>
    <row r="7" spans="2:2" x14ac:dyDescent="0.25">
      <c r="B7" s="42" t="s">
        <v>926</v>
      </c>
    </row>
    <row r="8" spans="2:2" x14ac:dyDescent="0.25">
      <c r="B8" s="42" t="s">
        <v>927</v>
      </c>
    </row>
    <row r="9" spans="2:2" x14ac:dyDescent="0.25">
      <c r="B9" s="42" t="s">
        <v>928</v>
      </c>
    </row>
    <row r="10" spans="2:2" x14ac:dyDescent="0.25">
      <c r="B10" s="42" t="s">
        <v>929</v>
      </c>
    </row>
    <row r="11" spans="2:2" x14ac:dyDescent="0.25">
      <c r="B11" s="42" t="s">
        <v>930</v>
      </c>
    </row>
    <row r="12" spans="2:2" x14ac:dyDescent="0.25">
      <c r="B12" s="42" t="s">
        <v>931</v>
      </c>
    </row>
    <row r="13" spans="2:2" x14ac:dyDescent="0.25">
      <c r="B13" s="42" t="s">
        <v>932</v>
      </c>
    </row>
    <row r="14" spans="2:2" x14ac:dyDescent="0.25">
      <c r="B14" s="42" t="s">
        <v>933</v>
      </c>
    </row>
    <row r="15" spans="2:2" x14ac:dyDescent="0.25">
      <c r="B15" s="42" t="s">
        <v>934</v>
      </c>
    </row>
  </sheetData>
  <sheetProtection algorithmName="SHA-512" hashValue="BgQcKucC2qmCB3L7fVtlYphEjq8KxPLefiMaN0qFBQjY9GJE6AKYr6eDlRqBn9ONZqbb0MbBJw/3hApK98z4aA==" saltValue="ZFqD2UIE6Xt/o96lVRqhjw==" spinCount="100000" sheet="1" objects="1" scenarios="1" selectLockedCells="1" selectUnlockedCell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6CA7704AB62546B6C3C42147285715" ma:contentTypeVersion="9" ma:contentTypeDescription="Create a new document." ma:contentTypeScope="" ma:versionID="d0efdd22d61b59cd69439fd2a3e233b6">
  <xsd:schema xmlns:xsd="http://www.w3.org/2001/XMLSchema" xmlns:xs="http://www.w3.org/2001/XMLSchema" xmlns:p="http://schemas.microsoft.com/office/2006/metadata/properties" xmlns:ns3="e69d96e8-a4da-45a7-94e9-4e630d5cf31d" targetNamespace="http://schemas.microsoft.com/office/2006/metadata/properties" ma:root="true" ma:fieldsID="4ed33e8a1ff2b4331831fee57fa7e59a" ns3:_="">
    <xsd:import namespace="e69d96e8-a4da-45a7-94e9-4e630d5cf31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9d96e8-a4da-45a7-94e9-4e630d5cf31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734DA4F1-0E7A-4A0A-AC8B-15C51EE743E3}">
  <ds:schemaRefs/>
</ds:datastoreItem>
</file>

<file path=customXml/itemProps2.xml><?xml version="1.0" encoding="utf-8"?>
<ds:datastoreItem xmlns:ds="http://schemas.openxmlformats.org/officeDocument/2006/customXml" ds:itemID="{871421C6-021D-4439-9661-B7F3A54F522F}">
  <ds:schemaRefs/>
</ds:datastoreItem>
</file>

<file path=customXml/itemProps3.xml><?xml version="1.0" encoding="utf-8"?>
<ds:datastoreItem xmlns:ds="http://schemas.openxmlformats.org/officeDocument/2006/customXml" ds:itemID="{40F5A72D-4D3F-4A92-AB36-4412C1B304F8}">
  <ds:schemaRefs/>
</ds:datastoreItem>
</file>

<file path=customXml/itemProps4.xml><?xml version="1.0" encoding="utf-8"?>
<ds:datastoreItem xmlns:ds="http://schemas.openxmlformats.org/officeDocument/2006/customXml" ds:itemID="{0E7A853C-F23D-4C22-9157-37B6D2B013D5}">
  <ds:schemaRefs/>
</ds:datastoreItem>
</file>

<file path=customXml/itemProps5.xml><?xml version="1.0" encoding="utf-8"?>
<ds:datastoreItem xmlns:ds="http://schemas.openxmlformats.org/officeDocument/2006/customXml" ds:itemID="{16017188-C06F-448D-852E-D2AFB0BB97C0}">
  <ds:schemaRefs/>
</ds:datastoreItem>
</file>

<file path=customXml/itemProps6.xml><?xml version="1.0" encoding="utf-8"?>
<ds:datastoreItem xmlns:ds="http://schemas.openxmlformats.org/officeDocument/2006/customXml" ds:itemID="{82034449-0322-4AEB-AE00-CDA31A8AD984}">
  <ds:schemaRefs/>
</ds:datastoreItem>
</file>

<file path=customXml/itemProps7.xml><?xml version="1.0" encoding="utf-8"?>
<ds:datastoreItem xmlns:ds="http://schemas.openxmlformats.org/officeDocument/2006/customXml" ds:itemID="{63A44153-7582-465A-AB78-1E2F7E513F5A}">
  <ds:schemaRefs/>
</ds:datastoreItem>
</file>

<file path=customXml/itemProps8.xml><?xml version="1.0" encoding="utf-8"?>
<ds:datastoreItem xmlns:ds="http://schemas.openxmlformats.org/officeDocument/2006/customXml" ds:itemID="{7684C2A8-E663-4B55-A489-892C3D3EB5AC}">
  <ds:schemaRefs/>
</ds:datastoreItem>
</file>

<file path=customXml/itemProps9.xml><?xml version="1.0" encoding="utf-8"?>
<ds:datastoreItem xmlns:ds="http://schemas.openxmlformats.org/officeDocument/2006/customXml" ds:itemID="{E595745F-1AEF-4A95-A81C-9B2D683C1ECA}">
  <ds:schemaRefs/>
</ds:datastoreItem>
</file>

<file path=customXml/itemProps10.xml><?xml version="1.0" encoding="utf-8"?>
<ds:datastoreItem xmlns:ds="http://schemas.openxmlformats.org/officeDocument/2006/customXml" ds:itemID="{7A2831DE-D4D3-4F33-BA69-E72149DF9AB6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A60D347D-2264-48AF-9224-3C781CCBD54F}">
  <ds:schemaRefs/>
</ds:datastoreItem>
</file>

<file path=customXml/itemProps12.xml><?xml version="1.0" encoding="utf-8"?>
<ds:datastoreItem xmlns:ds="http://schemas.openxmlformats.org/officeDocument/2006/customXml" ds:itemID="{9F671A9F-5DFD-4B4D-9850-D12A40FCC896}">
  <ds:schemaRefs>
    <ds:schemaRef ds:uri="http://purl.org/dc/dcmitype/"/>
    <ds:schemaRef ds:uri="http://schemas.microsoft.com/office/2006/metadata/properties"/>
    <ds:schemaRef ds:uri="e69d96e8-a4da-45a7-94e9-4e630d5cf31d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</ds:schemaRefs>
</ds:datastoreItem>
</file>

<file path=customXml/itemProps13.xml><?xml version="1.0" encoding="utf-8"?>
<ds:datastoreItem xmlns:ds="http://schemas.openxmlformats.org/officeDocument/2006/customXml" ds:itemID="{28FE15BB-BA99-4969-A1B4-9C1493E09F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9d96e8-a4da-45a7-94e9-4e630d5cf3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4.xml><?xml version="1.0" encoding="utf-8"?>
<ds:datastoreItem xmlns:ds="http://schemas.openxmlformats.org/officeDocument/2006/customXml" ds:itemID="{D2DC8E84-B790-4839-8417-24D3E0C3F860}">
  <ds:schemaRefs/>
</ds:datastoreItem>
</file>

<file path=customXml/itemProps15.xml><?xml version="1.0" encoding="utf-8"?>
<ds:datastoreItem xmlns:ds="http://schemas.openxmlformats.org/officeDocument/2006/customXml" ds:itemID="{7E4D4E44-2D92-4ECA-9647-E51CA27A5613}">
  <ds:schemaRefs/>
</ds:datastoreItem>
</file>

<file path=customXml/itemProps16.xml><?xml version="1.0" encoding="utf-8"?>
<ds:datastoreItem xmlns:ds="http://schemas.openxmlformats.org/officeDocument/2006/customXml" ds:itemID="{C6263ACF-5895-4D8C-864C-5907589B5970}">
  <ds:schemaRefs/>
</ds:datastoreItem>
</file>

<file path=customXml/itemProps17.xml><?xml version="1.0" encoding="utf-8"?>
<ds:datastoreItem xmlns:ds="http://schemas.openxmlformats.org/officeDocument/2006/customXml" ds:itemID="{CF55F593-D16A-49BA-9BD4-36C03AFD1CF0}">
  <ds:schemaRefs/>
</ds:datastoreItem>
</file>

<file path=customXml/itemProps18.xml><?xml version="1.0" encoding="utf-8"?>
<ds:datastoreItem xmlns:ds="http://schemas.openxmlformats.org/officeDocument/2006/customXml" ds:itemID="{93D35464-2D77-4630-9A92-30BA3BFB9E26}">
  <ds:schemaRefs/>
</ds:datastoreItem>
</file>

<file path=customXml/itemProps19.xml><?xml version="1.0" encoding="utf-8"?>
<ds:datastoreItem xmlns:ds="http://schemas.openxmlformats.org/officeDocument/2006/customXml" ds:itemID="{AB34B8B3-7028-4D8B-B693-A9A94316887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TCD </vt:lpstr>
      <vt:lpstr>Dashboard </vt:lpstr>
      <vt:lpstr>NORMALISATIONS DEC SUD</vt:lpstr>
      <vt:lpstr>Liste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raphael.pameni</dc:creator>
  <cp:lastModifiedBy>JEAN RODRIGUE AWONO</cp:lastModifiedBy>
  <dcterms:created xsi:type="dcterms:W3CDTF">2024-03-29T11:20:22Z</dcterms:created>
  <dcterms:modified xsi:type="dcterms:W3CDTF">2024-05-15T04:24:24Z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0x010100516CA7704AB62546B6C3C42147285715</vt:lpwstr>
  </property>
</Properties>
</file>